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2" i="1"/>
  <c r="N2" i="1"/>
  <c r="O2" i="1"/>
  <c r="P2" i="1"/>
  <c r="N40" i="1"/>
  <c r="O40" i="1"/>
  <c r="P40" i="1"/>
  <c r="N21" i="1" l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K63" i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62" i="1"/>
  <c r="M60" i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43" i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K43" i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M42" i="1"/>
  <c r="M41" i="1"/>
  <c r="K25" i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24" i="1"/>
  <c r="M22" i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3" i="1"/>
  <c r="D61" i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60" i="1"/>
  <c r="D42" i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41" i="1"/>
  <c r="D23" i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22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3" i="1"/>
  <c r="B62" i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43" i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24" i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<sst xmlns="http://schemas.openxmlformats.org/spreadsheetml/2006/main" count="168" uniqueCount="14">
  <si>
    <t>id</t>
  </si>
  <si>
    <t>yi</t>
  </si>
  <si>
    <t>Norway</t>
  </si>
  <si>
    <t>Sweden</t>
  </si>
  <si>
    <t>Finland</t>
  </si>
  <si>
    <t>Denmark</t>
  </si>
  <si>
    <t>GDP</t>
  </si>
  <si>
    <t>L</t>
  </si>
  <si>
    <t>A</t>
  </si>
  <si>
    <t>P</t>
  </si>
  <si>
    <t>lnGDP</t>
  </si>
  <si>
    <t>lnL</t>
  </si>
  <si>
    <t>lnA</t>
  </si>
  <si>
    <t>lnP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</si>
</sst>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6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"/>
  <sheetViews>
    <sheetView tabSelected="1" workbookViewId="0">
      <selection activeCell="Q1" sqref="L1:Q77"/>
    </sheetView>
  </sheetViews>
  <sheetFormatPr defaultRowHeight="15" x14ac:dyDescent="0.25"/>
  <cols>
    <col min="1" max="7" width="9" style="6"/>
    <col min="8" max="8" width="9" style="8"/>
    <col min="9" max="9" width="9" style="14"/>
    <col min="10" max="10" width="9" style="13"/>
    <col min="11" max="16384" width="9" style="6"/>
  </cols>
  <sheetData>
    <row r="1" spans="1:17" s="1" customFormat="1" x14ac:dyDescent="0.25">
      <c r="A1" s="1" t="s">
        <v>0</v>
      </c>
      <c r="B1" s="1" t="s">
        <v>1</v>
      </c>
      <c r="C1" s="1" t="s">
        <v>0</v>
      </c>
      <c r="D1" s="1" t="s">
        <v>1</v>
      </c>
      <c r="E1" s="1" t="s">
        <v>6</v>
      </c>
      <c r="F1" s="1" t="s">
        <v>7</v>
      </c>
      <c r="G1" s="1" t="s">
        <v>8</v>
      </c>
      <c r="H1" s="7" t="s">
        <v>9</v>
      </c>
      <c r="I1" s="14"/>
      <c r="J1" s="9" t="s">
        <v>0</v>
      </c>
      <c r="K1" s="1" t="s">
        <v>1</v>
      </c>
      <c r="L1" s="1" t="s">
        <v>0</v>
      </c>
      <c r="M1" s="1" t="s">
        <v>1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s="1" customFormat="1" x14ac:dyDescent="0.25">
      <c r="A2" s="1" t="s">
        <v>2</v>
      </c>
      <c r="B2" s="1">
        <v>2000</v>
      </c>
      <c r="C2" s="1">
        <v>1</v>
      </c>
      <c r="D2" s="1">
        <v>1</v>
      </c>
      <c r="E2" s="1">
        <v>171247131268.60416</v>
      </c>
      <c r="F2" s="1">
        <v>78.634146341463421</v>
      </c>
      <c r="G2" s="1">
        <v>54.416124865172833</v>
      </c>
      <c r="H2" s="1">
        <v>4490967</v>
      </c>
      <c r="I2" s="14"/>
      <c r="J2" s="9" t="s">
        <v>2</v>
      </c>
      <c r="K2" s="1">
        <v>2000</v>
      </c>
      <c r="L2" s="1">
        <v>1</v>
      </c>
      <c r="M2" s="1">
        <v>1</v>
      </c>
      <c r="N2" s="1">
        <f>LN(E2)</f>
        <v>25.866373562232255</v>
      </c>
      <c r="O2" s="1">
        <f>LN(F2)</f>
        <v>4.3648060369222108</v>
      </c>
      <c r="P2" s="1">
        <f>LN(G2)</f>
        <v>3.9966605229029897</v>
      </c>
      <c r="Q2" s="1">
        <f>LN(H2)</f>
        <v>15.317578604013486</v>
      </c>
    </row>
    <row r="3" spans="1:17" s="1" customFormat="1" x14ac:dyDescent="0.25">
      <c r="A3" s="1" t="s">
        <v>2</v>
      </c>
      <c r="B3" s="1">
        <v>2001</v>
      </c>
      <c r="C3" s="1">
        <v>1</v>
      </c>
      <c r="D3" s="1">
        <f>D2+1</f>
        <v>2</v>
      </c>
      <c r="E3" s="1">
        <v>173972218824.02661</v>
      </c>
      <c r="F3" s="1">
        <v>78.785365853658533</v>
      </c>
      <c r="G3" s="1">
        <v>54.111915894072752</v>
      </c>
      <c r="H3" s="1">
        <v>4513751</v>
      </c>
      <c r="I3" s="14"/>
      <c r="J3" s="9" t="s">
        <v>2</v>
      </c>
      <c r="K3" s="1">
        <v>2001</v>
      </c>
      <c r="L3" s="1">
        <v>1</v>
      </c>
      <c r="M3" s="1">
        <f>M2+1</f>
        <v>2</v>
      </c>
      <c r="N3" s="1">
        <f t="shared" ref="N3:N66" si="0">LN(E3)</f>
        <v>25.882161461482735</v>
      </c>
      <c r="O3" s="1">
        <f t="shared" ref="O3:O66" si="1">LN(F3)</f>
        <v>4.3667272671001047</v>
      </c>
      <c r="P3" s="1">
        <f t="shared" ref="P3:P66" si="2">LN(G3)</f>
        <v>3.9910544184215104</v>
      </c>
      <c r="Q3" s="1">
        <f t="shared" ref="Q3:Q66" si="3">LN(H3)</f>
        <v>15.322639073119058</v>
      </c>
    </row>
    <row r="4" spans="1:17" s="1" customFormat="1" x14ac:dyDescent="0.25">
      <c r="A4" s="1" t="s">
        <v>2</v>
      </c>
      <c r="B4" s="1">
        <v>2002</v>
      </c>
      <c r="C4" s="1">
        <v>1</v>
      </c>
      <c r="D4" s="1">
        <f t="shared" ref="D4:D19" si="4">D3+1</f>
        <v>3</v>
      </c>
      <c r="E4" s="1">
        <v>195524186477.61719</v>
      </c>
      <c r="F4" s="1">
        <v>78.987804878048792</v>
      </c>
      <c r="G4" s="1">
        <v>53.722872911408523</v>
      </c>
      <c r="H4" s="1">
        <v>4538159</v>
      </c>
      <c r="I4" s="14"/>
      <c r="J4" s="9" t="s">
        <v>2</v>
      </c>
      <c r="K4" s="1">
        <v>2002</v>
      </c>
      <c r="L4" s="1">
        <v>1</v>
      </c>
      <c r="M4" s="1">
        <f t="shared" ref="M4:M19" si="5">M3+1</f>
        <v>3</v>
      </c>
      <c r="N4" s="1">
        <f t="shared" si="0"/>
        <v>25.998949924717682</v>
      </c>
      <c r="O4" s="1">
        <f t="shared" si="1"/>
        <v>4.369293471918664</v>
      </c>
      <c r="P4" s="1">
        <f t="shared" si="2"/>
        <v>3.983838849588591</v>
      </c>
      <c r="Q4" s="1">
        <f t="shared" si="3"/>
        <v>15.328031981169563</v>
      </c>
    </row>
    <row r="5" spans="1:17" s="1" customFormat="1" x14ac:dyDescent="0.25">
      <c r="A5" s="1" t="s">
        <v>2</v>
      </c>
      <c r="B5" s="1">
        <f>B4+1</f>
        <v>2003</v>
      </c>
      <c r="C5" s="1">
        <v>1</v>
      </c>
      <c r="D5" s="1">
        <f t="shared" si="4"/>
        <v>4</v>
      </c>
      <c r="E5" s="1">
        <v>228858506821.84122</v>
      </c>
      <c r="F5" s="1">
        <v>79.390243902439025</v>
      </c>
      <c r="G5" s="1">
        <v>53.282224204115948</v>
      </c>
      <c r="H5" s="1">
        <v>4564855</v>
      </c>
      <c r="I5" s="14"/>
      <c r="J5" s="9" t="s">
        <v>2</v>
      </c>
      <c r="K5" s="1">
        <f>K4+1</f>
        <v>2003</v>
      </c>
      <c r="L5" s="1">
        <v>1</v>
      </c>
      <c r="M5" s="1">
        <f t="shared" si="5"/>
        <v>4</v>
      </c>
      <c r="N5" s="1">
        <f t="shared" si="0"/>
        <v>26.156369775397327</v>
      </c>
      <c r="O5" s="1">
        <f t="shared" si="1"/>
        <v>4.3743754879383614</v>
      </c>
      <c r="P5" s="1">
        <f t="shared" si="2"/>
        <v>3.9756027709335582</v>
      </c>
      <c r="Q5" s="1">
        <f t="shared" si="3"/>
        <v>15.333897308089432</v>
      </c>
    </row>
    <row r="6" spans="1:17" s="1" customFormat="1" x14ac:dyDescent="0.25">
      <c r="A6" s="1" t="s">
        <v>2</v>
      </c>
      <c r="B6" s="1">
        <f t="shared" ref="B6:B20" si="6">B5+1</f>
        <v>2004</v>
      </c>
      <c r="C6" s="1">
        <v>1</v>
      </c>
      <c r="D6" s="1">
        <f t="shared" si="4"/>
        <v>5</v>
      </c>
      <c r="E6" s="1">
        <v>264511630666.98315</v>
      </c>
      <c r="F6" s="1">
        <v>79.841463414634163</v>
      </c>
      <c r="G6" s="1">
        <v>52.856037216114785</v>
      </c>
      <c r="H6" s="1">
        <v>4591910</v>
      </c>
      <c r="I6" s="14"/>
      <c r="J6" s="9" t="s">
        <v>2</v>
      </c>
      <c r="K6" s="1">
        <f t="shared" ref="K6:K15" si="7">K5+1</f>
        <v>2004</v>
      </c>
      <c r="L6" s="1">
        <v>1</v>
      </c>
      <c r="M6" s="1">
        <f t="shared" si="5"/>
        <v>5</v>
      </c>
      <c r="N6" s="1">
        <f t="shared" si="0"/>
        <v>26.301151059553941</v>
      </c>
      <c r="O6" s="1">
        <f t="shared" si="1"/>
        <v>4.3800429611768381</v>
      </c>
      <c r="P6" s="1">
        <f t="shared" si="2"/>
        <v>3.9675719388312185</v>
      </c>
      <c r="Q6" s="1">
        <f t="shared" si="3"/>
        <v>15.339806617486335</v>
      </c>
    </row>
    <row r="7" spans="1:17" s="1" customFormat="1" x14ac:dyDescent="0.25">
      <c r="A7" s="1" t="s">
        <v>2</v>
      </c>
      <c r="B7" s="1">
        <f t="shared" si="6"/>
        <v>2005</v>
      </c>
      <c r="C7" s="1">
        <v>1</v>
      </c>
      <c r="D7" s="1">
        <f t="shared" si="4"/>
        <v>6</v>
      </c>
      <c r="E7" s="1">
        <v>308884284051.22235</v>
      </c>
      <c r="F7" s="1">
        <v>80.041463414634151</v>
      </c>
      <c r="G7" s="1">
        <v>52.502308171107138</v>
      </c>
      <c r="H7" s="1">
        <v>4623291</v>
      </c>
      <c r="I7" s="14"/>
      <c r="J7" s="9" t="s">
        <v>2</v>
      </c>
      <c r="K7" s="1">
        <f t="shared" si="7"/>
        <v>2005</v>
      </c>
      <c r="L7" s="1">
        <v>1</v>
      </c>
      <c r="M7" s="1">
        <f t="shared" si="5"/>
        <v>6</v>
      </c>
      <c r="N7" s="1">
        <f t="shared" si="0"/>
        <v>26.456232558435911</v>
      </c>
      <c r="O7" s="1">
        <f t="shared" si="1"/>
        <v>4.3825447930895471</v>
      </c>
      <c r="P7" s="1">
        <f t="shared" si="2"/>
        <v>3.9608571337950842</v>
      </c>
      <c r="Q7" s="1">
        <f t="shared" si="3"/>
        <v>15.346617347128209</v>
      </c>
    </row>
    <row r="8" spans="1:17" s="1" customFormat="1" x14ac:dyDescent="0.25">
      <c r="A8" s="1" t="s">
        <v>2</v>
      </c>
      <c r="B8" s="1">
        <f t="shared" si="6"/>
        <v>2006</v>
      </c>
      <c r="C8" s="1">
        <v>1</v>
      </c>
      <c r="D8" s="1">
        <f t="shared" si="4"/>
        <v>7</v>
      </c>
      <c r="E8" s="1">
        <v>345581369965.54041</v>
      </c>
      <c r="F8" s="1">
        <v>80.34390243902439</v>
      </c>
      <c r="G8" s="1">
        <v>52.007727132927748</v>
      </c>
      <c r="H8" s="1">
        <v>4660677</v>
      </c>
      <c r="I8" s="14"/>
      <c r="J8" s="9" t="s">
        <v>2</v>
      </c>
      <c r="K8" s="1">
        <f t="shared" si="7"/>
        <v>2006</v>
      </c>
      <c r="L8" s="1">
        <v>1</v>
      </c>
      <c r="M8" s="1">
        <f t="shared" si="5"/>
        <v>7</v>
      </c>
      <c r="N8" s="1">
        <f t="shared" si="0"/>
        <v>26.568493966073603</v>
      </c>
      <c r="O8" s="1">
        <f t="shared" si="1"/>
        <v>4.3863162017995556</v>
      </c>
      <c r="P8" s="1">
        <f t="shared" si="2"/>
        <v>3.9513923062518819</v>
      </c>
      <c r="Q8" s="1">
        <f t="shared" si="3"/>
        <v>15.354671274519818</v>
      </c>
    </row>
    <row r="9" spans="1:17" s="1" customFormat="1" x14ac:dyDescent="0.25">
      <c r="A9" s="1" t="s">
        <v>2</v>
      </c>
      <c r="B9" s="1">
        <f t="shared" si="6"/>
        <v>2007</v>
      </c>
      <c r="C9" s="1">
        <v>1</v>
      </c>
      <c r="D9" s="1">
        <f t="shared" si="4"/>
        <v>8</v>
      </c>
      <c r="E9" s="1">
        <v>400937100158.65704</v>
      </c>
      <c r="F9" s="1">
        <v>80.395121951219522</v>
      </c>
      <c r="G9" s="1">
        <v>51.584406337303456</v>
      </c>
      <c r="H9" s="1">
        <v>4709153</v>
      </c>
      <c r="I9" s="14"/>
      <c r="J9" s="9" t="s">
        <v>2</v>
      </c>
      <c r="K9" s="1">
        <f t="shared" si="7"/>
        <v>2007</v>
      </c>
      <c r="L9" s="1">
        <v>1</v>
      </c>
      <c r="M9" s="1">
        <f t="shared" si="5"/>
        <v>8</v>
      </c>
      <c r="N9" s="1">
        <f t="shared" si="0"/>
        <v>26.717070394489856</v>
      </c>
      <c r="O9" s="1">
        <f t="shared" si="1"/>
        <v>4.3869535020957722</v>
      </c>
      <c r="P9" s="1">
        <f t="shared" si="2"/>
        <v>3.9432194240496226</v>
      </c>
      <c r="Q9" s="1">
        <f t="shared" si="3"/>
        <v>15.3650186196726</v>
      </c>
    </row>
    <row r="10" spans="1:17" s="1" customFormat="1" x14ac:dyDescent="0.25">
      <c r="A10" s="1" t="s">
        <v>2</v>
      </c>
      <c r="B10" s="1">
        <f t="shared" si="6"/>
        <v>2008</v>
      </c>
      <c r="C10" s="1">
        <v>1</v>
      </c>
      <c r="D10" s="1">
        <f t="shared" si="4"/>
        <v>9</v>
      </c>
      <c r="E10" s="1">
        <v>462250000000</v>
      </c>
      <c r="F10" s="1">
        <v>80.592682926829283</v>
      </c>
      <c r="G10" s="1">
        <v>51.231716143585082</v>
      </c>
      <c r="H10" s="1">
        <v>4768212</v>
      </c>
      <c r="I10" s="14"/>
      <c r="J10" s="9" t="s">
        <v>2</v>
      </c>
      <c r="K10" s="1">
        <f t="shared" si="7"/>
        <v>2008</v>
      </c>
      <c r="L10" s="1">
        <v>1</v>
      </c>
      <c r="M10" s="1">
        <f t="shared" si="5"/>
        <v>9</v>
      </c>
      <c r="N10" s="1">
        <f t="shared" si="0"/>
        <v>26.859371707213647</v>
      </c>
      <c r="O10" s="1">
        <f t="shared" si="1"/>
        <v>4.3894078628460553</v>
      </c>
      <c r="P10" s="1">
        <f t="shared" si="2"/>
        <v>3.936358796191231</v>
      </c>
      <c r="Q10" s="1">
        <f t="shared" si="3"/>
        <v>15.377481949826118</v>
      </c>
    </row>
    <row r="11" spans="1:17" s="1" customFormat="1" x14ac:dyDescent="0.25">
      <c r="A11" s="1" t="s">
        <v>2</v>
      </c>
      <c r="B11" s="1">
        <f t="shared" si="6"/>
        <v>2009</v>
      </c>
      <c r="C11" s="1">
        <v>1</v>
      </c>
      <c r="D11" s="1">
        <f t="shared" si="4"/>
        <v>10</v>
      </c>
      <c r="E11" s="1">
        <v>386190385318.7666</v>
      </c>
      <c r="F11" s="1">
        <v>80.795121951219514</v>
      </c>
      <c r="G11" s="1">
        <v>50.967604371774677</v>
      </c>
      <c r="H11" s="1">
        <v>4828726</v>
      </c>
      <c r="I11" s="14"/>
      <c r="J11" s="9" t="s">
        <v>2</v>
      </c>
      <c r="K11" s="1">
        <f t="shared" si="7"/>
        <v>2009</v>
      </c>
      <c r="L11" s="1">
        <v>1</v>
      </c>
      <c r="M11" s="1">
        <f t="shared" si="5"/>
        <v>10</v>
      </c>
      <c r="N11" s="1">
        <f t="shared" si="0"/>
        <v>26.679596311029595</v>
      </c>
      <c r="O11" s="1">
        <f t="shared" si="1"/>
        <v>4.3919165918137457</v>
      </c>
      <c r="P11" s="1">
        <f t="shared" si="2"/>
        <v>3.9311902224974231</v>
      </c>
      <c r="Q11" s="1">
        <f t="shared" si="3"/>
        <v>15.390093222719885</v>
      </c>
    </row>
    <row r="12" spans="1:17" s="1" customFormat="1" x14ac:dyDescent="0.25">
      <c r="A12" s="1" t="s">
        <v>2</v>
      </c>
      <c r="B12" s="1">
        <f t="shared" si="6"/>
        <v>2010</v>
      </c>
      <c r="C12" s="1">
        <v>1</v>
      </c>
      <c r="D12" s="1">
        <f t="shared" si="4"/>
        <v>11</v>
      </c>
      <c r="E12" s="1">
        <v>428757038466.84106</v>
      </c>
      <c r="F12" s="1">
        <v>80.997560975609773</v>
      </c>
      <c r="G12" s="1">
        <v>50.827053566911438</v>
      </c>
      <c r="H12" s="1">
        <v>4889252</v>
      </c>
      <c r="I12" s="14"/>
      <c r="J12" s="9" t="s">
        <v>2</v>
      </c>
      <c r="K12" s="1">
        <f t="shared" si="7"/>
        <v>2010</v>
      </c>
      <c r="L12" s="1">
        <v>1</v>
      </c>
      <c r="M12" s="1">
        <f t="shared" si="5"/>
        <v>11</v>
      </c>
      <c r="N12" s="1">
        <f t="shared" si="0"/>
        <v>26.784156251541006</v>
      </c>
      <c r="O12" s="1">
        <f t="shared" si="1"/>
        <v>4.3944190428068559</v>
      </c>
      <c r="P12" s="1">
        <f t="shared" si="2"/>
        <v>3.9284287633594812</v>
      </c>
      <c r="Q12" s="1">
        <f t="shared" si="3"/>
        <v>15.402549884515507</v>
      </c>
    </row>
    <row r="13" spans="1:17" s="1" customFormat="1" x14ac:dyDescent="0.25">
      <c r="A13" s="1" t="s">
        <v>2</v>
      </c>
      <c r="B13" s="1">
        <f t="shared" si="6"/>
        <v>2011</v>
      </c>
      <c r="C13" s="1">
        <v>1</v>
      </c>
      <c r="D13" s="1">
        <f t="shared" si="4"/>
        <v>12</v>
      </c>
      <c r="E13" s="1">
        <v>498283438454.28113</v>
      </c>
      <c r="F13" s="1">
        <v>81.2951219512195</v>
      </c>
      <c r="G13" s="1">
        <v>51.031757575314053</v>
      </c>
      <c r="H13" s="1">
        <v>4953088</v>
      </c>
      <c r="I13" s="14"/>
      <c r="J13" s="9" t="s">
        <v>2</v>
      </c>
      <c r="K13" s="1">
        <f t="shared" si="7"/>
        <v>2011</v>
      </c>
      <c r="L13" s="1">
        <v>1</v>
      </c>
      <c r="M13" s="1">
        <f t="shared" si="5"/>
        <v>12</v>
      </c>
      <c r="N13" s="1">
        <f t="shared" si="0"/>
        <v>26.934434905587281</v>
      </c>
      <c r="O13" s="1">
        <f t="shared" si="1"/>
        <v>4.3980860141536509</v>
      </c>
      <c r="P13" s="1">
        <f t="shared" si="2"/>
        <v>3.9324481364838273</v>
      </c>
      <c r="Q13" s="1">
        <f t="shared" si="3"/>
        <v>15.415521778422436</v>
      </c>
    </row>
    <row r="14" spans="1:17" s="1" customFormat="1" x14ac:dyDescent="0.25">
      <c r="A14" s="1" t="s">
        <v>2</v>
      </c>
      <c r="B14" s="1">
        <f t="shared" si="6"/>
        <v>2012</v>
      </c>
      <c r="C14" s="1">
        <v>1</v>
      </c>
      <c r="D14" s="1">
        <f t="shared" si="4"/>
        <v>13</v>
      </c>
      <c r="E14" s="1">
        <v>509506317146.54065</v>
      </c>
      <c r="F14" s="1">
        <v>81.451219512195138</v>
      </c>
      <c r="G14" s="1">
        <v>51.273439737155435</v>
      </c>
      <c r="H14" s="1">
        <v>5018573</v>
      </c>
      <c r="I14" s="14"/>
      <c r="J14" s="9" t="s">
        <v>2</v>
      </c>
      <c r="K14" s="1">
        <f t="shared" si="7"/>
        <v>2012</v>
      </c>
      <c r="L14" s="1">
        <v>1</v>
      </c>
      <c r="M14" s="1">
        <f t="shared" si="5"/>
        <v>13</v>
      </c>
      <c r="N14" s="1">
        <f t="shared" si="0"/>
        <v>26.956708088249776</v>
      </c>
      <c r="O14" s="1">
        <f t="shared" si="1"/>
        <v>4.4000043074613835</v>
      </c>
      <c r="P14" s="1">
        <f t="shared" si="2"/>
        <v>3.9371728741859644</v>
      </c>
      <c r="Q14" s="1">
        <f t="shared" si="3"/>
        <v>15.428656188309334</v>
      </c>
    </row>
    <row r="15" spans="1:17" s="1" customFormat="1" x14ac:dyDescent="0.25">
      <c r="A15" s="1" t="s">
        <v>2</v>
      </c>
      <c r="B15" s="1">
        <f t="shared" si="6"/>
        <v>2013</v>
      </c>
      <c r="C15" s="1">
        <v>1</v>
      </c>
      <c r="D15" s="1">
        <f t="shared" si="4"/>
        <v>14</v>
      </c>
      <c r="E15" s="1">
        <v>522761531914.89362</v>
      </c>
      <c r="F15" s="1">
        <v>81.751219512195135</v>
      </c>
      <c r="G15" s="1">
        <v>51.555754727592628</v>
      </c>
      <c r="H15" s="1">
        <v>5079623</v>
      </c>
      <c r="I15" s="14"/>
      <c r="J15" s="9" t="s">
        <v>2</v>
      </c>
      <c r="K15" s="1">
        <f t="shared" si="7"/>
        <v>2013</v>
      </c>
      <c r="L15" s="1">
        <v>1</v>
      </c>
      <c r="M15" s="1">
        <f t="shared" si="5"/>
        <v>14</v>
      </c>
      <c r="N15" s="1">
        <f t="shared" si="0"/>
        <v>26.982391235107279</v>
      </c>
      <c r="O15" s="1">
        <f t="shared" si="1"/>
        <v>4.4036807272464653</v>
      </c>
      <c r="P15" s="1">
        <f t="shared" si="2"/>
        <v>3.9426638381332926</v>
      </c>
      <c r="Q15" s="1">
        <f t="shared" si="3"/>
        <v>15.440747604202349</v>
      </c>
    </row>
    <row r="16" spans="1:17" s="1" customFormat="1" x14ac:dyDescent="0.25">
      <c r="A16" s="1" t="s">
        <v>2</v>
      </c>
      <c r="B16" s="1">
        <f>B15+1</f>
        <v>2014</v>
      </c>
      <c r="C16" s="1">
        <v>1</v>
      </c>
      <c r="D16" s="1">
        <f t="shared" si="4"/>
        <v>15</v>
      </c>
      <c r="E16" s="1">
        <v>498410050251.25598</v>
      </c>
      <c r="F16" s="1">
        <v>82.1</v>
      </c>
      <c r="G16" s="1">
        <v>51.853641839116335</v>
      </c>
      <c r="H16" s="1">
        <v>5137232</v>
      </c>
      <c r="I16" s="14"/>
      <c r="J16" s="9" t="s">
        <v>2</v>
      </c>
      <c r="K16" s="1">
        <f>K15+1</f>
        <v>2014</v>
      </c>
      <c r="L16" s="1">
        <v>1</v>
      </c>
      <c r="M16" s="1">
        <f t="shared" si="5"/>
        <v>15</v>
      </c>
      <c r="N16" s="1">
        <f t="shared" si="0"/>
        <v>26.934688969246952</v>
      </c>
      <c r="O16" s="1">
        <f t="shared" si="1"/>
        <v>4.4079380164583828</v>
      </c>
      <c r="P16" s="1">
        <f t="shared" si="2"/>
        <v>3.9484251701861366</v>
      </c>
      <c r="Q16" s="1">
        <f t="shared" si="3"/>
        <v>15.452024970975842</v>
      </c>
    </row>
    <row r="17" spans="1:17" s="1" customFormat="1" x14ac:dyDescent="0.25">
      <c r="A17" s="1" t="s">
        <v>2</v>
      </c>
      <c r="B17" s="1">
        <f t="shared" si="6"/>
        <v>2015</v>
      </c>
      <c r="C17" s="1">
        <v>1</v>
      </c>
      <c r="D17" s="1">
        <f t="shared" si="4"/>
        <v>16</v>
      </c>
      <c r="E17" s="1">
        <v>385801550067.16937</v>
      </c>
      <c r="F17" s="1">
        <v>82.304878048780509</v>
      </c>
      <c r="G17" s="1">
        <v>52.126754728410162</v>
      </c>
      <c r="H17" s="1">
        <v>5188607</v>
      </c>
      <c r="I17" s="14"/>
      <c r="J17" s="9" t="s">
        <v>2</v>
      </c>
      <c r="K17" s="1">
        <f t="shared" ref="K17:K20" si="8">K16+1</f>
        <v>2015</v>
      </c>
      <c r="L17" s="1">
        <v>1</v>
      </c>
      <c r="M17" s="1">
        <f t="shared" si="5"/>
        <v>16</v>
      </c>
      <c r="N17" s="1">
        <f t="shared" si="0"/>
        <v>26.678588955209786</v>
      </c>
      <c r="O17" s="1">
        <f t="shared" si="1"/>
        <v>4.4104303774791536</v>
      </c>
      <c r="P17" s="1">
        <f t="shared" si="2"/>
        <v>3.9536783434067422</v>
      </c>
      <c r="Q17" s="1">
        <f t="shared" si="3"/>
        <v>15.461975818345426</v>
      </c>
    </row>
    <row r="18" spans="1:17" s="1" customFormat="1" x14ac:dyDescent="0.25">
      <c r="A18" s="1" t="s">
        <v>2</v>
      </c>
      <c r="B18" s="1">
        <f t="shared" si="6"/>
        <v>2016</v>
      </c>
      <c r="C18" s="1">
        <v>1</v>
      </c>
      <c r="D18" s="1">
        <f t="shared" si="4"/>
        <v>17</v>
      </c>
      <c r="E18" s="1">
        <v>368819929542.19415</v>
      </c>
      <c r="F18" s="1">
        <v>82.407317073170745</v>
      </c>
      <c r="G18" s="1">
        <v>52.429811779204272</v>
      </c>
      <c r="H18" s="1">
        <v>5234519</v>
      </c>
      <c r="I18" s="14"/>
      <c r="J18" s="9" t="s">
        <v>2</v>
      </c>
      <c r="K18" s="1">
        <f t="shared" si="8"/>
        <v>2016</v>
      </c>
      <c r="L18" s="1">
        <v>1</v>
      </c>
      <c r="M18" s="1">
        <f t="shared" si="5"/>
        <v>17</v>
      </c>
      <c r="N18" s="1">
        <f t="shared" si="0"/>
        <v>26.633574366057616</v>
      </c>
      <c r="O18" s="1">
        <f t="shared" si="1"/>
        <v>4.4116742324046738</v>
      </c>
      <c r="P18" s="1">
        <f t="shared" si="2"/>
        <v>3.9594753566333907</v>
      </c>
      <c r="Q18" s="1">
        <f t="shared" si="3"/>
        <v>15.470785516499024</v>
      </c>
    </row>
    <row r="19" spans="1:17" s="1" customFormat="1" x14ac:dyDescent="0.25">
      <c r="A19" s="1" t="s">
        <v>2</v>
      </c>
      <c r="B19" s="1">
        <f t="shared" si="6"/>
        <v>2017</v>
      </c>
      <c r="C19" s="1">
        <v>1</v>
      </c>
      <c r="D19" s="1">
        <f t="shared" si="4"/>
        <v>18</v>
      </c>
      <c r="E19" s="1">
        <v>398393955268.99036</v>
      </c>
      <c r="F19" s="1">
        <v>82.609756097560975</v>
      </c>
      <c r="G19" s="1">
        <v>52.683567187265808</v>
      </c>
      <c r="H19" s="1">
        <v>5276968</v>
      </c>
      <c r="I19" s="14"/>
      <c r="J19" s="9" t="s">
        <v>2</v>
      </c>
      <c r="K19" s="1">
        <f t="shared" si="8"/>
        <v>2017</v>
      </c>
      <c r="L19" s="1">
        <v>1</v>
      </c>
      <c r="M19" s="1">
        <f t="shared" si="5"/>
        <v>18</v>
      </c>
      <c r="N19" s="1">
        <f t="shared" si="0"/>
        <v>26.710707190024156</v>
      </c>
      <c r="O19" s="1">
        <f t="shared" si="1"/>
        <v>4.4141277861134638</v>
      </c>
      <c r="P19" s="1">
        <f t="shared" si="2"/>
        <v>3.9643035888435034</v>
      </c>
      <c r="Q19" s="1">
        <f t="shared" si="3"/>
        <v>15.478862248317874</v>
      </c>
    </row>
    <row r="20" spans="1:17" s="1" customFormat="1" x14ac:dyDescent="0.25">
      <c r="A20" s="1" t="s">
        <v>2</v>
      </c>
      <c r="B20" s="1">
        <f t="shared" si="6"/>
        <v>2018</v>
      </c>
      <c r="C20" s="1">
        <v>1</v>
      </c>
      <c r="D20" s="1">
        <v>19</v>
      </c>
      <c r="E20" s="1">
        <v>434166615431.909</v>
      </c>
      <c r="F20" s="1">
        <v>82.75853658536586</v>
      </c>
      <c r="G20" s="1">
        <v>52.901123605208277</v>
      </c>
      <c r="H20" s="1">
        <v>5311916</v>
      </c>
      <c r="I20" s="14"/>
      <c r="J20" s="9" t="s">
        <v>2</v>
      </c>
      <c r="K20" s="1">
        <f t="shared" si="8"/>
        <v>2018</v>
      </c>
      <c r="L20" s="1">
        <v>1</v>
      </c>
      <c r="M20" s="1">
        <v>19</v>
      </c>
      <c r="N20" s="1">
        <f t="shared" si="0"/>
        <v>26.796694203898696</v>
      </c>
      <c r="O20" s="1">
        <f t="shared" si="1"/>
        <v>4.4159271700888842</v>
      </c>
      <c r="P20" s="1">
        <f t="shared" si="2"/>
        <v>3.9684245788127539</v>
      </c>
      <c r="Q20" s="1">
        <f t="shared" si="3"/>
        <v>15.485463156760364</v>
      </c>
    </row>
    <row r="21" spans="1:17" s="2" customFormat="1" x14ac:dyDescent="0.25">
      <c r="A21" s="2" t="s">
        <v>3</v>
      </c>
      <c r="B21" s="2">
        <v>2000</v>
      </c>
      <c r="C21" s="2">
        <v>2</v>
      </c>
      <c r="D21" s="2">
        <v>1</v>
      </c>
      <c r="E21" s="2">
        <v>262835454366.8551</v>
      </c>
      <c r="F21" s="2">
        <v>79.643902439024401</v>
      </c>
      <c r="G21" s="2">
        <v>55.583861073315546</v>
      </c>
      <c r="H21" s="2">
        <v>8872109</v>
      </c>
      <c r="I21" s="14"/>
      <c r="J21" s="10" t="s">
        <v>3</v>
      </c>
      <c r="K21" s="2">
        <v>2000</v>
      </c>
      <c r="L21" s="2">
        <v>2</v>
      </c>
      <c r="M21" s="2">
        <v>1</v>
      </c>
      <c r="N21" s="2">
        <f t="shared" si="0"/>
        <v>26.294794024529068</v>
      </c>
      <c r="O21" s="2">
        <f t="shared" si="1"/>
        <v>4.3775654789877567</v>
      </c>
      <c r="P21" s="2">
        <f t="shared" si="2"/>
        <v>4.0178928906549443</v>
      </c>
      <c r="Q21" s="1">
        <f t="shared" si="3"/>
        <v>15.998423093779971</v>
      </c>
    </row>
    <row r="22" spans="1:17" s="2" customFormat="1" x14ac:dyDescent="0.25">
      <c r="A22" s="2" t="s">
        <v>3</v>
      </c>
      <c r="B22" s="2">
        <v>2001</v>
      </c>
      <c r="C22" s="2">
        <v>2</v>
      </c>
      <c r="D22" s="2">
        <f>D21+1</f>
        <v>2</v>
      </c>
      <c r="E22" s="2">
        <v>242395852494.409</v>
      </c>
      <c r="F22" s="2">
        <v>79.795121951219514</v>
      </c>
      <c r="G22" s="2">
        <v>54.776465659339223</v>
      </c>
      <c r="H22" s="2">
        <v>8895960</v>
      </c>
      <c r="I22" s="14"/>
      <c r="J22" s="10" t="s">
        <v>3</v>
      </c>
      <c r="K22" s="2">
        <v>2001</v>
      </c>
      <c r="L22" s="2">
        <v>2</v>
      </c>
      <c r="M22" s="2">
        <f>M21+1</f>
        <v>2</v>
      </c>
      <c r="N22" s="2">
        <f t="shared" si="0"/>
        <v>26.213837980823609</v>
      </c>
      <c r="O22" s="2">
        <f t="shared" si="1"/>
        <v>4.3794623741565113</v>
      </c>
      <c r="P22" s="2">
        <f t="shared" si="2"/>
        <v>4.003260642938959</v>
      </c>
      <c r="Q22" s="1">
        <f t="shared" si="3"/>
        <v>16.001107799059515</v>
      </c>
    </row>
    <row r="23" spans="1:17" s="2" customFormat="1" x14ac:dyDescent="0.25">
      <c r="A23" s="2" t="s">
        <v>3</v>
      </c>
      <c r="B23" s="2">
        <v>2002</v>
      </c>
      <c r="C23" s="2">
        <v>2</v>
      </c>
      <c r="D23" s="2">
        <f t="shared" ref="D23:D39" si="9">D22+1</f>
        <v>3</v>
      </c>
      <c r="E23" s="2">
        <v>266849061835.65948</v>
      </c>
      <c r="F23" s="2">
        <v>79.846341463414646</v>
      </c>
      <c r="G23" s="2">
        <v>54.256647974302538</v>
      </c>
      <c r="H23" s="2">
        <v>8924958</v>
      </c>
      <c r="I23" s="14"/>
      <c r="J23" s="10" t="s">
        <v>3</v>
      </c>
      <c r="K23" s="2">
        <v>2002</v>
      </c>
      <c r="L23" s="2">
        <v>2</v>
      </c>
      <c r="M23" s="2">
        <f t="shared" ref="M23:M39" si="10">M22+1</f>
        <v>3</v>
      </c>
      <c r="N23" s="2">
        <f t="shared" si="0"/>
        <v>26.309949024020952</v>
      </c>
      <c r="O23" s="2">
        <f t="shared" si="1"/>
        <v>4.3801040559960169</v>
      </c>
      <c r="P23" s="2">
        <f t="shared" si="2"/>
        <v>3.9937255282178672</v>
      </c>
      <c r="Q23" s="1">
        <f t="shared" si="3"/>
        <v>16.00436217973655</v>
      </c>
    </row>
    <row r="24" spans="1:17" s="2" customFormat="1" x14ac:dyDescent="0.25">
      <c r="A24" s="2" t="s">
        <v>3</v>
      </c>
      <c r="B24" s="2">
        <f>B23+1</f>
        <v>2003</v>
      </c>
      <c r="C24" s="2">
        <v>2</v>
      </c>
      <c r="D24" s="2">
        <f t="shared" si="9"/>
        <v>4</v>
      </c>
      <c r="E24" s="2">
        <v>334337212322.07562</v>
      </c>
      <c r="F24" s="2">
        <v>80.095121951219525</v>
      </c>
      <c r="G24" s="2">
        <v>53.902209483074969</v>
      </c>
      <c r="H24" s="2">
        <v>8958229</v>
      </c>
      <c r="I24" s="14"/>
      <c r="J24" s="10" t="s">
        <v>3</v>
      </c>
      <c r="K24" s="2">
        <f>K23+1</f>
        <v>2003</v>
      </c>
      <c r="L24" s="2">
        <v>2</v>
      </c>
      <c r="M24" s="2">
        <f t="shared" si="10"/>
        <v>4</v>
      </c>
      <c r="N24" s="2">
        <f t="shared" si="0"/>
        <v>26.53541593833268</v>
      </c>
      <c r="O24" s="2">
        <f t="shared" si="1"/>
        <v>4.3832149527344653</v>
      </c>
      <c r="P24" s="2">
        <f t="shared" si="2"/>
        <v>3.9871714693396334</v>
      </c>
      <c r="Q24" s="1">
        <f t="shared" si="3"/>
        <v>16.008083109164541</v>
      </c>
    </row>
    <row r="25" spans="1:17" s="2" customFormat="1" x14ac:dyDescent="0.25">
      <c r="A25" s="2" t="s">
        <v>3</v>
      </c>
      <c r="B25" s="2">
        <f t="shared" ref="B25:B39" si="11">B24+1</f>
        <v>2004</v>
      </c>
      <c r="C25" s="2">
        <v>2</v>
      </c>
      <c r="D25" s="2">
        <f t="shared" si="9"/>
        <v>5</v>
      </c>
      <c r="E25" s="2">
        <v>385118044877.46466</v>
      </c>
      <c r="F25" s="2">
        <v>80.497560975609773</v>
      </c>
      <c r="G25" s="2">
        <v>53.549676519864917</v>
      </c>
      <c r="H25" s="2">
        <v>8993531</v>
      </c>
      <c r="I25" s="14"/>
      <c r="J25" s="10" t="s">
        <v>3</v>
      </c>
      <c r="K25" s="2">
        <f t="shared" ref="K25:K34" si="12">K24+1</f>
        <v>2004</v>
      </c>
      <c r="L25" s="2">
        <v>2</v>
      </c>
      <c r="M25" s="2">
        <f t="shared" si="10"/>
        <v>5</v>
      </c>
      <c r="N25" s="2">
        <f t="shared" si="0"/>
        <v>26.676815734310271</v>
      </c>
      <c r="O25" s="2">
        <f t="shared" si="1"/>
        <v>4.3882268855258806</v>
      </c>
      <c r="P25" s="2">
        <f t="shared" si="2"/>
        <v>3.9806097561633726</v>
      </c>
      <c r="Q25" s="1">
        <f t="shared" si="3"/>
        <v>16.012016099078117</v>
      </c>
    </row>
    <row r="26" spans="1:17" s="2" customFormat="1" x14ac:dyDescent="0.25">
      <c r="A26" s="2" t="s">
        <v>3</v>
      </c>
      <c r="B26" s="2">
        <f t="shared" si="11"/>
        <v>2005</v>
      </c>
      <c r="C26" s="2">
        <v>2</v>
      </c>
      <c r="D26" s="2">
        <f t="shared" si="9"/>
        <v>6</v>
      </c>
      <c r="E26" s="2">
        <v>392218088878.77856</v>
      </c>
      <c r="F26" s="2">
        <v>80.546341463414649</v>
      </c>
      <c r="G26" s="2">
        <v>53.165597481791004</v>
      </c>
      <c r="H26" s="2">
        <v>9029572</v>
      </c>
      <c r="I26" s="14"/>
      <c r="J26" s="10" t="s">
        <v>3</v>
      </c>
      <c r="K26" s="2">
        <f t="shared" si="12"/>
        <v>2005</v>
      </c>
      <c r="L26" s="2">
        <v>2</v>
      </c>
      <c r="M26" s="2">
        <f t="shared" si="10"/>
        <v>6</v>
      </c>
      <c r="N26" s="2">
        <f t="shared" si="0"/>
        <v>26.695083871212603</v>
      </c>
      <c r="O26" s="2">
        <f t="shared" si="1"/>
        <v>4.3888326891428813</v>
      </c>
      <c r="P26" s="2">
        <f t="shared" si="2"/>
        <v>3.9734115232942222</v>
      </c>
      <c r="Q26" s="1">
        <f t="shared" si="3"/>
        <v>16.016015526706191</v>
      </c>
    </row>
    <row r="27" spans="1:17" s="2" customFormat="1" x14ac:dyDescent="0.25">
      <c r="A27" s="2" t="s">
        <v>3</v>
      </c>
      <c r="B27" s="2">
        <f t="shared" si="11"/>
        <v>2006</v>
      </c>
      <c r="C27" s="2">
        <v>2</v>
      </c>
      <c r="D27" s="2">
        <f t="shared" si="9"/>
        <v>7</v>
      </c>
      <c r="E27" s="2">
        <v>423093437423.7619</v>
      </c>
      <c r="F27" s="2">
        <v>80.748780487804893</v>
      </c>
      <c r="G27" s="2">
        <v>53.232976940225754</v>
      </c>
      <c r="H27" s="2">
        <v>9080505</v>
      </c>
      <c r="I27" s="14"/>
      <c r="J27" s="10" t="s">
        <v>3</v>
      </c>
      <c r="K27" s="2">
        <f t="shared" si="12"/>
        <v>2006</v>
      </c>
      <c r="L27" s="2">
        <v>2</v>
      </c>
      <c r="M27" s="2">
        <f t="shared" si="10"/>
        <v>7</v>
      </c>
      <c r="N27" s="2">
        <f t="shared" si="0"/>
        <v>26.770858883854345</v>
      </c>
      <c r="O27" s="2">
        <f t="shared" si="1"/>
        <v>4.3913428596705195</v>
      </c>
      <c r="P27" s="2">
        <f t="shared" si="2"/>
        <v>3.9746780716066969</v>
      </c>
      <c r="Q27" s="1">
        <f t="shared" si="3"/>
        <v>16.02164036577101</v>
      </c>
    </row>
    <row r="28" spans="1:17" s="2" customFormat="1" x14ac:dyDescent="0.25">
      <c r="A28" s="2" t="s">
        <v>3</v>
      </c>
      <c r="B28" s="2">
        <f t="shared" si="11"/>
        <v>2007</v>
      </c>
      <c r="C28" s="2">
        <v>2</v>
      </c>
      <c r="D28" s="2">
        <f t="shared" si="9"/>
        <v>8</v>
      </c>
      <c r="E28" s="2">
        <v>491252589217.02075</v>
      </c>
      <c r="F28" s="2">
        <v>80.900000000000006</v>
      </c>
      <c r="G28" s="2">
        <v>53.061491852669583</v>
      </c>
      <c r="H28" s="2">
        <v>9148092</v>
      </c>
      <c r="I28" s="14"/>
      <c r="J28" s="10" t="s">
        <v>3</v>
      </c>
      <c r="K28" s="2">
        <f t="shared" si="12"/>
        <v>2007</v>
      </c>
      <c r="L28" s="2">
        <v>2</v>
      </c>
      <c r="M28" s="2">
        <f t="shared" si="10"/>
        <v>8</v>
      </c>
      <c r="N28" s="2">
        <f t="shared" si="0"/>
        <v>26.920224270786772</v>
      </c>
      <c r="O28" s="2">
        <f t="shared" si="1"/>
        <v>4.3932138240644463</v>
      </c>
      <c r="P28" s="2">
        <f t="shared" si="2"/>
        <v>3.9714514646481023</v>
      </c>
      <c r="Q28" s="1">
        <f t="shared" si="3"/>
        <v>16.029055890917263</v>
      </c>
    </row>
    <row r="29" spans="1:17" s="2" customFormat="1" x14ac:dyDescent="0.25">
      <c r="A29" s="2" t="s">
        <v>3</v>
      </c>
      <c r="B29" s="2">
        <f t="shared" si="11"/>
        <v>2008</v>
      </c>
      <c r="C29" s="2">
        <v>2</v>
      </c>
      <c r="D29" s="2">
        <f t="shared" si="9"/>
        <v>9</v>
      </c>
      <c r="E29" s="2">
        <v>517706149201.19556</v>
      </c>
      <c r="F29" s="2">
        <v>81.099999999999994</v>
      </c>
      <c r="G29" s="2">
        <v>52.833270423893588</v>
      </c>
      <c r="H29" s="2">
        <v>9219637</v>
      </c>
      <c r="I29" s="14"/>
      <c r="J29" s="10" t="s">
        <v>3</v>
      </c>
      <c r="K29" s="2">
        <f t="shared" si="12"/>
        <v>2008</v>
      </c>
      <c r="L29" s="2">
        <v>2</v>
      </c>
      <c r="M29" s="2">
        <f t="shared" si="10"/>
        <v>9</v>
      </c>
      <c r="N29" s="2">
        <f t="shared" si="0"/>
        <v>26.972673638707612</v>
      </c>
      <c r="O29" s="2">
        <f t="shared" si="1"/>
        <v>4.3956829611213672</v>
      </c>
      <c r="P29" s="2">
        <f t="shared" si="2"/>
        <v>3.9671411139335691</v>
      </c>
      <c r="Q29" s="1">
        <f t="shared" si="3"/>
        <v>16.036846223824966</v>
      </c>
    </row>
    <row r="30" spans="1:17" s="2" customFormat="1" x14ac:dyDescent="0.25">
      <c r="A30" s="2" t="s">
        <v>3</v>
      </c>
      <c r="B30" s="2">
        <f t="shared" si="11"/>
        <v>2009</v>
      </c>
      <c r="C30" s="2">
        <v>2</v>
      </c>
      <c r="D30" s="2">
        <f t="shared" si="9"/>
        <v>10</v>
      </c>
      <c r="E30" s="2">
        <v>436537014293.55353</v>
      </c>
      <c r="F30" s="2">
        <v>81.351219512195129</v>
      </c>
      <c r="G30" s="2">
        <v>52.831281834662732</v>
      </c>
      <c r="H30" s="2">
        <v>9298515</v>
      </c>
      <c r="I30" s="14"/>
      <c r="J30" s="10" t="s">
        <v>3</v>
      </c>
      <c r="K30" s="2">
        <f t="shared" si="12"/>
        <v>2009</v>
      </c>
      <c r="L30" s="2">
        <v>2</v>
      </c>
      <c r="M30" s="2">
        <f t="shared" si="10"/>
        <v>10</v>
      </c>
      <c r="N30" s="2">
        <f t="shared" si="0"/>
        <v>26.802139006554302</v>
      </c>
      <c r="O30" s="2">
        <f t="shared" si="1"/>
        <v>4.3987758244831712</v>
      </c>
      <c r="P30" s="2">
        <f t="shared" si="2"/>
        <v>3.9671034742675015</v>
      </c>
      <c r="Q30" s="1">
        <f t="shared" si="3"/>
        <v>16.045365267954335</v>
      </c>
    </row>
    <row r="31" spans="1:17" s="2" customFormat="1" x14ac:dyDescent="0.25">
      <c r="A31" s="2" t="s">
        <v>3</v>
      </c>
      <c r="B31" s="2">
        <f t="shared" si="11"/>
        <v>2010</v>
      </c>
      <c r="C31" s="2">
        <v>2</v>
      </c>
      <c r="D31" s="2">
        <f t="shared" si="9"/>
        <v>11</v>
      </c>
      <c r="E31" s="2">
        <v>495812558843.31036</v>
      </c>
      <c r="F31" s="2">
        <v>81.451219512195138</v>
      </c>
      <c r="G31" s="2">
        <v>53.201505791455325</v>
      </c>
      <c r="H31" s="2">
        <v>9378126</v>
      </c>
      <c r="I31" s="14"/>
      <c r="J31" s="10" t="s">
        <v>3</v>
      </c>
      <c r="K31" s="2">
        <f t="shared" si="12"/>
        <v>2010</v>
      </c>
      <c r="L31" s="2">
        <v>2</v>
      </c>
      <c r="M31" s="2">
        <f t="shared" si="10"/>
        <v>11</v>
      </c>
      <c r="N31" s="2">
        <f t="shared" si="0"/>
        <v>26.929463786689197</v>
      </c>
      <c r="O31" s="2">
        <f t="shared" si="1"/>
        <v>4.4000043074613835</v>
      </c>
      <c r="P31" s="2">
        <f t="shared" si="2"/>
        <v>3.9740867002977023</v>
      </c>
      <c r="Q31" s="1">
        <f t="shared" si="3"/>
        <v>16.053890514241985</v>
      </c>
    </row>
    <row r="32" spans="1:17" s="2" customFormat="1" x14ac:dyDescent="0.25">
      <c r="A32" s="2" t="s">
        <v>3</v>
      </c>
      <c r="B32" s="2">
        <f t="shared" si="11"/>
        <v>2011</v>
      </c>
      <c r="C32" s="2">
        <v>2</v>
      </c>
      <c r="D32" s="2">
        <f t="shared" si="9"/>
        <v>12</v>
      </c>
      <c r="E32" s="2">
        <v>574094112972.73267</v>
      </c>
      <c r="F32" s="2">
        <v>81.802439024390253</v>
      </c>
      <c r="G32" s="2">
        <v>53.881282033786015</v>
      </c>
      <c r="H32" s="2">
        <v>9449213</v>
      </c>
      <c r="I32" s="14"/>
      <c r="J32" s="10" t="s">
        <v>3</v>
      </c>
      <c r="K32" s="2">
        <f t="shared" si="12"/>
        <v>2011</v>
      </c>
      <c r="L32" s="2">
        <v>2</v>
      </c>
      <c r="M32" s="2">
        <f t="shared" si="10"/>
        <v>12</v>
      </c>
      <c r="N32" s="2">
        <f t="shared" si="0"/>
        <v>27.076059179708835</v>
      </c>
      <c r="O32" s="2">
        <f t="shared" si="1"/>
        <v>4.4043070600882723</v>
      </c>
      <c r="P32" s="2">
        <f t="shared" si="2"/>
        <v>3.9867831455015867</v>
      </c>
      <c r="Q32" s="1">
        <f t="shared" si="3"/>
        <v>16.061442015578638</v>
      </c>
    </row>
    <row r="33" spans="1:17" s="2" customFormat="1" x14ac:dyDescent="0.25">
      <c r="A33" s="2" t="s">
        <v>3</v>
      </c>
      <c r="B33" s="2">
        <f t="shared" si="11"/>
        <v>2012</v>
      </c>
      <c r="C33" s="2">
        <v>2</v>
      </c>
      <c r="D33" s="2">
        <f t="shared" si="9"/>
        <v>13</v>
      </c>
      <c r="E33" s="2">
        <v>552483727282.80249</v>
      </c>
      <c r="F33" s="2">
        <v>81.7048780487805</v>
      </c>
      <c r="G33" s="2">
        <v>54.893819964101965</v>
      </c>
      <c r="H33" s="2">
        <v>9519374</v>
      </c>
      <c r="I33" s="14"/>
      <c r="J33" s="10" t="s">
        <v>3</v>
      </c>
      <c r="K33" s="2">
        <f t="shared" si="12"/>
        <v>2012</v>
      </c>
      <c r="L33" s="2">
        <v>2</v>
      </c>
      <c r="M33" s="2">
        <f t="shared" si="10"/>
        <v>13</v>
      </c>
      <c r="N33" s="2">
        <f t="shared" si="0"/>
        <v>27.03768981702277</v>
      </c>
      <c r="O33" s="2">
        <f t="shared" si="1"/>
        <v>4.4031137069229933</v>
      </c>
      <c r="P33" s="2">
        <f t="shared" si="2"/>
        <v>4.0054007732192325</v>
      </c>
      <c r="Q33" s="1">
        <f t="shared" si="3"/>
        <v>16.068839648302987</v>
      </c>
    </row>
    <row r="34" spans="1:17" s="2" customFormat="1" x14ac:dyDescent="0.25">
      <c r="A34" s="2" t="s">
        <v>3</v>
      </c>
      <c r="B34" s="2">
        <f t="shared" si="11"/>
        <v>2013</v>
      </c>
      <c r="C34" s="2">
        <v>2</v>
      </c>
      <c r="D34" s="2">
        <f t="shared" si="9"/>
        <v>14</v>
      </c>
      <c r="E34" s="2">
        <v>586841821796.89111</v>
      </c>
      <c r="F34" s="2">
        <v>81.956097560975607</v>
      </c>
      <c r="G34" s="2">
        <v>56.156121964164562</v>
      </c>
      <c r="H34" s="2">
        <v>9600379</v>
      </c>
      <c r="I34" s="14"/>
      <c r="J34" s="10" t="s">
        <v>3</v>
      </c>
      <c r="K34" s="2">
        <f t="shared" si="12"/>
        <v>2013</v>
      </c>
      <c r="L34" s="2">
        <v>2</v>
      </c>
      <c r="M34" s="2">
        <f t="shared" si="10"/>
        <v>14</v>
      </c>
      <c r="N34" s="2">
        <f t="shared" si="0"/>
        <v>27.098021151631432</v>
      </c>
      <c r="O34" s="2">
        <f t="shared" si="1"/>
        <v>4.4061837082909943</v>
      </c>
      <c r="P34" s="2">
        <f t="shared" si="2"/>
        <v>4.0281357039886156</v>
      </c>
      <c r="Q34" s="1">
        <f t="shared" si="3"/>
        <v>16.077313134825449</v>
      </c>
    </row>
    <row r="35" spans="1:17" s="2" customFormat="1" x14ac:dyDescent="0.25">
      <c r="A35" s="2" t="s">
        <v>3</v>
      </c>
      <c r="B35" s="2">
        <f>B34+1</f>
        <v>2014</v>
      </c>
      <c r="C35" s="2">
        <v>2</v>
      </c>
      <c r="D35" s="2">
        <f t="shared" si="9"/>
        <v>15</v>
      </c>
      <c r="E35" s="2">
        <v>581964017237.0946</v>
      </c>
      <c r="F35" s="2">
        <v>82.253658536585377</v>
      </c>
      <c r="G35" s="2">
        <v>57.41853124152216</v>
      </c>
      <c r="H35" s="2">
        <v>9696110</v>
      </c>
      <c r="I35" s="14"/>
      <c r="J35" s="10" t="s">
        <v>3</v>
      </c>
      <c r="K35" s="2">
        <f>K34+1</f>
        <v>2014</v>
      </c>
      <c r="L35" s="2">
        <v>2</v>
      </c>
      <c r="M35" s="2">
        <f t="shared" si="10"/>
        <v>15</v>
      </c>
      <c r="N35" s="2">
        <f t="shared" si="0"/>
        <v>27.089674456713439</v>
      </c>
      <c r="O35" s="2">
        <f t="shared" si="1"/>
        <v>4.4098078693442133</v>
      </c>
      <c r="P35" s="2">
        <f t="shared" si="2"/>
        <v>4.0503670951515911</v>
      </c>
      <c r="Q35" s="1">
        <f t="shared" si="3"/>
        <v>16.087235332111369</v>
      </c>
    </row>
    <row r="36" spans="1:17" s="2" customFormat="1" x14ac:dyDescent="0.25">
      <c r="A36" s="2" t="s">
        <v>3</v>
      </c>
      <c r="B36" s="2">
        <f t="shared" si="11"/>
        <v>2015</v>
      </c>
      <c r="C36" s="2">
        <v>2</v>
      </c>
      <c r="D36" s="2">
        <f t="shared" si="9"/>
        <v>16</v>
      </c>
      <c r="E36" s="2">
        <v>505103781349.7569</v>
      </c>
      <c r="F36" s="2">
        <v>82.2048780487805</v>
      </c>
      <c r="G36" s="2">
        <v>58.485689009074868</v>
      </c>
      <c r="H36" s="2">
        <v>9799186</v>
      </c>
      <c r="I36" s="14"/>
      <c r="J36" s="10" t="s">
        <v>3</v>
      </c>
      <c r="K36" s="2">
        <f t="shared" ref="K36:K39" si="13">K35+1</f>
        <v>2015</v>
      </c>
      <c r="L36" s="2">
        <v>2</v>
      </c>
      <c r="M36" s="2">
        <f t="shared" si="10"/>
        <v>16</v>
      </c>
      <c r="N36" s="2">
        <f t="shared" si="0"/>
        <v>26.948029752731252</v>
      </c>
      <c r="O36" s="2">
        <f t="shared" si="1"/>
        <v>4.4092146439604996</v>
      </c>
      <c r="P36" s="2">
        <f t="shared" si="2"/>
        <v>4.0687820919869369</v>
      </c>
      <c r="Q36" s="1">
        <f t="shared" si="3"/>
        <v>16.097809878966537</v>
      </c>
    </row>
    <row r="37" spans="1:17" s="2" customFormat="1" x14ac:dyDescent="0.25">
      <c r="A37" s="2" t="s">
        <v>3</v>
      </c>
      <c r="B37" s="2">
        <f t="shared" si="11"/>
        <v>2016</v>
      </c>
      <c r="C37" s="2">
        <v>2</v>
      </c>
      <c r="D37" s="2">
        <f t="shared" si="9"/>
        <v>17</v>
      </c>
      <c r="E37" s="2">
        <v>515654671469.54694</v>
      </c>
      <c r="F37" s="2">
        <v>82.307317073170736</v>
      </c>
      <c r="G37" s="2">
        <v>59.308034560383859</v>
      </c>
      <c r="H37" s="2">
        <v>9923085</v>
      </c>
      <c r="I37" s="14"/>
      <c r="J37" s="10" t="s">
        <v>3</v>
      </c>
      <c r="K37" s="2">
        <f t="shared" si="13"/>
        <v>2016</v>
      </c>
      <c r="L37" s="2">
        <v>2</v>
      </c>
      <c r="M37" s="2">
        <f t="shared" si="10"/>
        <v>17</v>
      </c>
      <c r="N37" s="2">
        <f t="shared" si="0"/>
        <v>26.968703137047939</v>
      </c>
      <c r="O37" s="2">
        <f t="shared" si="1"/>
        <v>4.4104600110599295</v>
      </c>
      <c r="P37" s="2">
        <f t="shared" si="2"/>
        <v>4.0827447868827944</v>
      </c>
      <c r="Q37" s="1">
        <f t="shared" si="3"/>
        <v>16.110374418817567</v>
      </c>
    </row>
    <row r="38" spans="1:17" s="2" customFormat="1" x14ac:dyDescent="0.25">
      <c r="A38" s="2" t="s">
        <v>3</v>
      </c>
      <c r="B38" s="2">
        <f t="shared" si="11"/>
        <v>2017</v>
      </c>
      <c r="C38" s="2">
        <v>2</v>
      </c>
      <c r="D38" s="2">
        <f t="shared" si="9"/>
        <v>18</v>
      </c>
      <c r="E38" s="2">
        <v>541018749769.09711</v>
      </c>
      <c r="F38" s="2">
        <v>82.409756097560987</v>
      </c>
      <c r="G38" s="2">
        <v>59.965651998891126</v>
      </c>
      <c r="H38" s="2">
        <v>10057698</v>
      </c>
      <c r="I38" s="14"/>
      <c r="J38" s="10" t="s">
        <v>3</v>
      </c>
      <c r="K38" s="2">
        <f t="shared" si="13"/>
        <v>2017</v>
      </c>
      <c r="L38" s="2">
        <v>2</v>
      </c>
      <c r="M38" s="2">
        <f t="shared" si="10"/>
        <v>18</v>
      </c>
      <c r="N38" s="2">
        <f t="shared" si="0"/>
        <v>27.016719772806191</v>
      </c>
      <c r="O38" s="2">
        <f t="shared" si="1"/>
        <v>4.411703829149034</v>
      </c>
      <c r="P38" s="2">
        <f t="shared" si="2"/>
        <v>4.0937719316153371</v>
      </c>
      <c r="Q38" s="1">
        <f t="shared" si="3"/>
        <v>16.123848869413191</v>
      </c>
    </row>
    <row r="39" spans="1:17" s="2" customFormat="1" x14ac:dyDescent="0.25">
      <c r="A39" s="2" t="s">
        <v>3</v>
      </c>
      <c r="B39" s="2">
        <f t="shared" si="11"/>
        <v>2018</v>
      </c>
      <c r="C39" s="2">
        <v>2</v>
      </c>
      <c r="D39" s="2">
        <f t="shared" si="9"/>
        <v>19</v>
      </c>
      <c r="E39" s="2">
        <v>555455371487.08936</v>
      </c>
      <c r="F39" s="2">
        <v>82.558536585365857</v>
      </c>
      <c r="G39" s="2">
        <v>60.455206973402213</v>
      </c>
      <c r="H39" s="2">
        <v>10175214</v>
      </c>
      <c r="I39" s="14"/>
      <c r="J39" s="10" t="s">
        <v>3</v>
      </c>
      <c r="K39" s="2">
        <f t="shared" si="13"/>
        <v>2018</v>
      </c>
      <c r="L39" s="2">
        <v>2</v>
      </c>
      <c r="M39" s="2">
        <f t="shared" si="10"/>
        <v>19</v>
      </c>
      <c r="N39" s="2">
        <f t="shared" si="0"/>
        <v>27.043054103441541</v>
      </c>
      <c r="O39" s="2">
        <f t="shared" si="1"/>
        <v>4.4135075761082021</v>
      </c>
      <c r="P39" s="2">
        <f t="shared" si="2"/>
        <v>4.1019027102147954</v>
      </c>
      <c r="Q39" s="1">
        <f t="shared" si="3"/>
        <v>16.135465321012795</v>
      </c>
    </row>
    <row r="40" spans="1:17" s="3" customFormat="1" x14ac:dyDescent="0.25">
      <c r="A40" s="3" t="s">
        <v>4</v>
      </c>
      <c r="B40" s="3">
        <v>2000</v>
      </c>
      <c r="C40" s="3">
        <v>3</v>
      </c>
      <c r="D40" s="3">
        <v>1</v>
      </c>
      <c r="E40" s="3">
        <v>125706651925.5574</v>
      </c>
      <c r="F40" s="3">
        <v>77.465853658536602</v>
      </c>
      <c r="G40" s="4">
        <v>49.543630105938831</v>
      </c>
      <c r="H40" s="3">
        <v>5176209</v>
      </c>
      <c r="I40" s="14"/>
      <c r="J40" s="11" t="s">
        <v>4</v>
      </c>
      <c r="K40" s="3">
        <v>2000</v>
      </c>
      <c r="L40" s="3">
        <v>3</v>
      </c>
      <c r="M40" s="3">
        <v>1</v>
      </c>
      <c r="N40" s="3">
        <f t="shared" si="0"/>
        <v>25.557216870200186</v>
      </c>
      <c r="O40" s="3">
        <f t="shared" si="1"/>
        <v>4.3498372413131365</v>
      </c>
      <c r="P40" s="3">
        <f t="shared" si="2"/>
        <v>3.9028536976370116</v>
      </c>
      <c r="Q40" s="1">
        <f t="shared" si="3"/>
        <v>15.459583493018465</v>
      </c>
    </row>
    <row r="41" spans="1:17" s="3" customFormat="1" x14ac:dyDescent="0.25">
      <c r="A41" s="3" t="s">
        <v>4</v>
      </c>
      <c r="B41" s="3">
        <v>2001</v>
      </c>
      <c r="C41" s="3">
        <v>3</v>
      </c>
      <c r="D41" s="3">
        <f>D40+1</f>
        <v>2</v>
      </c>
      <c r="E41" s="3">
        <v>129421029082.77406</v>
      </c>
      <c r="F41" s="3">
        <v>77.965853658536588</v>
      </c>
      <c r="G41" s="4">
        <v>49.445873062831396</v>
      </c>
      <c r="H41" s="3">
        <v>5188008</v>
      </c>
      <c r="I41" s="14"/>
      <c r="J41" s="11" t="s">
        <v>4</v>
      </c>
      <c r="K41" s="3">
        <v>2001</v>
      </c>
      <c r="L41" s="3">
        <v>3</v>
      </c>
      <c r="M41" s="3">
        <f>M40+1</f>
        <v>2</v>
      </c>
      <c r="N41" s="3">
        <f t="shared" si="0"/>
        <v>25.586336718041167</v>
      </c>
      <c r="O41" s="3">
        <f t="shared" si="1"/>
        <v>4.3562709572302456</v>
      </c>
      <c r="P41" s="3">
        <f t="shared" si="2"/>
        <v>3.9008785978181932</v>
      </c>
      <c r="Q41" s="1">
        <f t="shared" si="3"/>
        <v>15.461860366437328</v>
      </c>
    </row>
    <row r="42" spans="1:17" s="3" customFormat="1" x14ac:dyDescent="0.25">
      <c r="A42" s="3" t="s">
        <v>4</v>
      </c>
      <c r="B42" s="3">
        <v>2002</v>
      </c>
      <c r="C42" s="3">
        <v>3</v>
      </c>
      <c r="D42" s="3">
        <f t="shared" ref="D42:D58" si="14">D41+1</f>
        <v>3</v>
      </c>
      <c r="E42" s="3">
        <v>139738377564.46451</v>
      </c>
      <c r="F42" s="3">
        <v>78.119512195121956</v>
      </c>
      <c r="G42" s="4">
        <v>49.567024493385588</v>
      </c>
      <c r="H42" s="3">
        <v>5200598</v>
      </c>
      <c r="I42" s="14"/>
      <c r="J42" s="11" t="s">
        <v>4</v>
      </c>
      <c r="K42" s="3">
        <v>2002</v>
      </c>
      <c r="L42" s="3">
        <v>3</v>
      </c>
      <c r="M42" s="3">
        <f t="shared" ref="M42:M58" si="15">M41+1</f>
        <v>3</v>
      </c>
      <c r="N42" s="3">
        <f t="shared" si="0"/>
        <v>25.663037779615912</v>
      </c>
      <c r="O42" s="3">
        <f t="shared" si="1"/>
        <v>4.3582398616869078</v>
      </c>
      <c r="P42" s="3">
        <f t="shared" si="2"/>
        <v>3.9033257838718529</v>
      </c>
      <c r="Q42" s="1">
        <f t="shared" si="3"/>
        <v>15.464284176939662</v>
      </c>
    </row>
    <row r="43" spans="1:17" s="3" customFormat="1" x14ac:dyDescent="0.25">
      <c r="A43" s="3" t="s">
        <v>4</v>
      </c>
      <c r="B43" s="3">
        <f>B42+1</f>
        <v>2003</v>
      </c>
      <c r="C43" s="3">
        <v>3</v>
      </c>
      <c r="D43" s="3">
        <f t="shared" si="14"/>
        <v>4</v>
      </c>
      <c r="E43" s="3">
        <v>171274266365.68848</v>
      </c>
      <c r="F43" s="3">
        <v>78.368292682926835</v>
      </c>
      <c r="G43" s="4">
        <v>49.803629358208383</v>
      </c>
      <c r="H43" s="3">
        <v>5213014</v>
      </c>
      <c r="I43" s="14"/>
      <c r="J43" s="11" t="s">
        <v>4</v>
      </c>
      <c r="K43" s="3">
        <f>K42+1</f>
        <v>2003</v>
      </c>
      <c r="L43" s="3">
        <v>3</v>
      </c>
      <c r="M43" s="3">
        <f t="shared" si="15"/>
        <v>4</v>
      </c>
      <c r="N43" s="3">
        <f t="shared" si="0"/>
        <v>25.866532005455529</v>
      </c>
      <c r="O43" s="3">
        <f t="shared" si="1"/>
        <v>4.3614194154877577</v>
      </c>
      <c r="P43" s="3">
        <f t="shared" si="2"/>
        <v>3.9080878600539686</v>
      </c>
      <c r="Q43" s="1">
        <f t="shared" si="3"/>
        <v>15.466668749340345</v>
      </c>
    </row>
    <row r="44" spans="1:17" s="3" customFormat="1" x14ac:dyDescent="0.25">
      <c r="A44" s="3" t="s">
        <v>4</v>
      </c>
      <c r="B44" s="3">
        <f t="shared" ref="B44:B58" si="16">B43+1</f>
        <v>2004</v>
      </c>
      <c r="C44" s="3">
        <v>3</v>
      </c>
      <c r="D44" s="3">
        <f t="shared" si="14"/>
        <v>5</v>
      </c>
      <c r="E44" s="3">
        <v>197116960516.51352</v>
      </c>
      <c r="F44" s="3">
        <v>78.714634146341481</v>
      </c>
      <c r="G44" s="4">
        <v>49.992153501044719</v>
      </c>
      <c r="H44" s="3">
        <v>5228172</v>
      </c>
      <c r="I44" s="14"/>
      <c r="J44" s="11" t="s">
        <v>4</v>
      </c>
      <c r="K44" s="3">
        <f t="shared" ref="K44:K53" si="17">K43+1</f>
        <v>2004</v>
      </c>
      <c r="L44" s="3">
        <v>3</v>
      </c>
      <c r="M44" s="3">
        <f t="shared" si="15"/>
        <v>5</v>
      </c>
      <c r="N44" s="3">
        <f t="shared" si="0"/>
        <v>26.007063097715061</v>
      </c>
      <c r="O44" s="3">
        <f t="shared" si="1"/>
        <v>4.365829086629347</v>
      </c>
      <c r="P44" s="3">
        <f t="shared" si="2"/>
        <v>3.911866063134243</v>
      </c>
      <c r="Q44" s="1">
        <f t="shared" si="3"/>
        <v>15.469572252955532</v>
      </c>
    </row>
    <row r="45" spans="1:17" s="3" customFormat="1" x14ac:dyDescent="0.25">
      <c r="A45" s="3" t="s">
        <v>4</v>
      </c>
      <c r="B45" s="3">
        <f t="shared" si="16"/>
        <v>2005</v>
      </c>
      <c r="C45" s="3">
        <v>3</v>
      </c>
      <c r="D45" s="3">
        <f t="shared" si="14"/>
        <v>6</v>
      </c>
      <c r="E45" s="3">
        <v>204809103345.35504</v>
      </c>
      <c r="F45" s="3">
        <v>78.817073170731703</v>
      </c>
      <c r="G45" s="4">
        <v>50.074334926258665</v>
      </c>
      <c r="H45" s="3">
        <v>5246096</v>
      </c>
      <c r="I45" s="14"/>
      <c r="J45" s="11" t="s">
        <v>4</v>
      </c>
      <c r="K45" s="3">
        <f t="shared" si="17"/>
        <v>2005</v>
      </c>
      <c r="L45" s="3">
        <v>3</v>
      </c>
      <c r="M45" s="3">
        <f t="shared" si="15"/>
        <v>6</v>
      </c>
      <c r="N45" s="3">
        <f t="shared" si="0"/>
        <v>26.045344179052385</v>
      </c>
      <c r="O45" s="3">
        <f t="shared" si="1"/>
        <v>4.3671296379986426</v>
      </c>
      <c r="P45" s="3">
        <f t="shared" si="2"/>
        <v>3.9135085999111836</v>
      </c>
      <c r="Q45" s="1">
        <f t="shared" si="3"/>
        <v>15.4729947388984</v>
      </c>
    </row>
    <row r="46" spans="1:17" s="3" customFormat="1" x14ac:dyDescent="0.25">
      <c r="A46" s="3" t="s">
        <v>4</v>
      </c>
      <c r="B46" s="3">
        <f t="shared" si="16"/>
        <v>2006</v>
      </c>
      <c r="C46" s="3">
        <v>3</v>
      </c>
      <c r="D46" s="3">
        <f t="shared" si="14"/>
        <v>7</v>
      </c>
      <c r="E46" s="3">
        <v>216907539831.89059</v>
      </c>
      <c r="F46" s="3">
        <v>79.214634146341467</v>
      </c>
      <c r="G46" s="4">
        <v>50.141652266707112</v>
      </c>
      <c r="H46" s="3">
        <v>5266268</v>
      </c>
      <c r="I46" s="14"/>
      <c r="J46" s="11" t="s">
        <v>4</v>
      </c>
      <c r="K46" s="3">
        <f t="shared" si="17"/>
        <v>2006</v>
      </c>
      <c r="L46" s="3">
        <v>3</v>
      </c>
      <c r="M46" s="3">
        <f t="shared" si="15"/>
        <v>7</v>
      </c>
      <c r="N46" s="3">
        <f t="shared" si="0"/>
        <v>26.102737015963402</v>
      </c>
      <c r="O46" s="3">
        <f t="shared" si="1"/>
        <v>4.3721610563266795</v>
      </c>
      <c r="P46" s="3">
        <f t="shared" si="2"/>
        <v>3.9148520452527658</v>
      </c>
      <c r="Q46" s="1">
        <f t="shared" si="3"/>
        <v>15.476832510261453</v>
      </c>
    </row>
    <row r="47" spans="1:17" s="3" customFormat="1" x14ac:dyDescent="0.25">
      <c r="A47" s="3" t="s">
        <v>4</v>
      </c>
      <c r="B47" s="3">
        <f t="shared" si="16"/>
        <v>2007</v>
      </c>
      <c r="C47" s="3">
        <v>3</v>
      </c>
      <c r="D47" s="3">
        <f t="shared" si="14"/>
        <v>8</v>
      </c>
      <c r="E47" s="3">
        <v>256052559540.104</v>
      </c>
      <c r="F47" s="3">
        <v>79.263414634146358</v>
      </c>
      <c r="G47" s="4">
        <v>50.095244149693372</v>
      </c>
      <c r="H47" s="3">
        <v>5288720</v>
      </c>
      <c r="I47" s="14"/>
      <c r="J47" s="11" t="s">
        <v>4</v>
      </c>
      <c r="K47" s="3">
        <f t="shared" si="17"/>
        <v>2007</v>
      </c>
      <c r="L47" s="3">
        <v>3</v>
      </c>
      <c r="M47" s="3">
        <f t="shared" si="15"/>
        <v>8</v>
      </c>
      <c r="N47" s="3">
        <f t="shared" si="0"/>
        <v>26.268648571056147</v>
      </c>
      <c r="O47" s="3">
        <f t="shared" si="1"/>
        <v>4.3727766682643683</v>
      </c>
      <c r="P47" s="3">
        <f t="shared" si="2"/>
        <v>3.913926076433123</v>
      </c>
      <c r="Q47" s="1">
        <f t="shared" si="3"/>
        <v>15.481086808582457</v>
      </c>
    </row>
    <row r="48" spans="1:17" s="3" customFormat="1" x14ac:dyDescent="0.25">
      <c r="A48" s="3" t="s">
        <v>4</v>
      </c>
      <c r="B48" s="3">
        <f t="shared" si="16"/>
        <v>2008</v>
      </c>
      <c r="C48" s="3">
        <v>3</v>
      </c>
      <c r="D48" s="3">
        <f t="shared" si="14"/>
        <v>9</v>
      </c>
      <c r="E48" s="3">
        <v>284553976856.59882</v>
      </c>
      <c r="F48" s="3">
        <v>79.568292682926838</v>
      </c>
      <c r="G48" s="4">
        <v>50.079270815827051</v>
      </c>
      <c r="H48" s="3">
        <v>5313399</v>
      </c>
      <c r="I48" s="14"/>
      <c r="J48" s="11" t="s">
        <v>4</v>
      </c>
      <c r="K48" s="3">
        <f t="shared" si="17"/>
        <v>2008</v>
      </c>
      <c r="L48" s="3">
        <v>3</v>
      </c>
      <c r="M48" s="3">
        <f t="shared" si="15"/>
        <v>9</v>
      </c>
      <c r="N48" s="3">
        <f t="shared" si="0"/>
        <v>26.374188797847975</v>
      </c>
      <c r="O48" s="3">
        <f t="shared" si="1"/>
        <v>4.3766156803655623</v>
      </c>
      <c r="P48" s="3">
        <f t="shared" si="2"/>
        <v>3.9136071662989997</v>
      </c>
      <c r="Q48" s="1">
        <f t="shared" si="3"/>
        <v>15.485742301427535</v>
      </c>
    </row>
    <row r="49" spans="1:17" s="3" customFormat="1" x14ac:dyDescent="0.25">
      <c r="A49" s="3" t="s">
        <v>4</v>
      </c>
      <c r="B49" s="3">
        <f t="shared" si="16"/>
        <v>2009</v>
      </c>
      <c r="C49" s="3">
        <v>3</v>
      </c>
      <c r="D49" s="3">
        <f t="shared" si="14"/>
        <v>10</v>
      </c>
      <c r="E49" s="3">
        <v>252496526813.0036</v>
      </c>
      <c r="F49" s="3">
        <v>79.719512195121965</v>
      </c>
      <c r="G49" s="4">
        <v>50.321217713164131</v>
      </c>
      <c r="H49" s="3">
        <v>5338871</v>
      </c>
      <c r="I49" s="14"/>
      <c r="J49" s="11" t="s">
        <v>4</v>
      </c>
      <c r="K49" s="3">
        <f t="shared" si="17"/>
        <v>2009</v>
      </c>
      <c r="L49" s="3">
        <v>3</v>
      </c>
      <c r="M49" s="3">
        <f t="shared" si="15"/>
        <v>10</v>
      </c>
      <c r="N49" s="3">
        <f t="shared" si="0"/>
        <v>26.254663330371198</v>
      </c>
      <c r="O49" s="3">
        <f t="shared" si="1"/>
        <v>4.3785143763484768</v>
      </c>
      <c r="P49" s="3">
        <f t="shared" si="2"/>
        <v>3.9184268114865892</v>
      </c>
      <c r="Q49" s="1">
        <f t="shared" si="3"/>
        <v>15.490524765362364</v>
      </c>
    </row>
    <row r="50" spans="1:17" s="3" customFormat="1" x14ac:dyDescent="0.25">
      <c r="A50" s="3" t="s">
        <v>4</v>
      </c>
      <c r="B50" s="3">
        <f t="shared" si="16"/>
        <v>2010</v>
      </c>
      <c r="C50" s="3">
        <v>3</v>
      </c>
      <c r="D50" s="3">
        <f t="shared" si="14"/>
        <v>11</v>
      </c>
      <c r="E50" s="3">
        <v>249181190476.36905</v>
      </c>
      <c r="F50" s="3">
        <v>79.870731707317091</v>
      </c>
      <c r="G50" s="4">
        <v>50.948311406502199</v>
      </c>
      <c r="H50" s="3">
        <v>5363352</v>
      </c>
      <c r="I50" s="14"/>
      <c r="J50" s="11" t="s">
        <v>4</v>
      </c>
      <c r="K50" s="3">
        <f t="shared" si="17"/>
        <v>2010</v>
      </c>
      <c r="L50" s="3">
        <v>3</v>
      </c>
      <c r="M50" s="3">
        <f t="shared" si="15"/>
        <v>11</v>
      </c>
      <c r="N50" s="3">
        <f t="shared" si="0"/>
        <v>26.24144614138164</v>
      </c>
      <c r="O50" s="3">
        <f t="shared" si="1"/>
        <v>4.380409474115794</v>
      </c>
      <c r="P50" s="3">
        <f t="shared" si="2"/>
        <v>3.9308116169507703</v>
      </c>
      <c r="Q50" s="1">
        <f t="shared" si="3"/>
        <v>15.495099710717023</v>
      </c>
    </row>
    <row r="51" spans="1:17" s="3" customFormat="1" x14ac:dyDescent="0.25">
      <c r="A51" s="3" t="s">
        <v>4</v>
      </c>
      <c r="B51" s="3">
        <f t="shared" si="16"/>
        <v>2011</v>
      </c>
      <c r="C51" s="3">
        <v>3</v>
      </c>
      <c r="D51" s="3">
        <f t="shared" si="14"/>
        <v>12</v>
      </c>
      <c r="E51" s="3">
        <v>275243697751.01123</v>
      </c>
      <c r="F51" s="3">
        <v>80.470731707317086</v>
      </c>
      <c r="G51" s="4">
        <v>52.022719873061227</v>
      </c>
      <c r="H51" s="3">
        <v>5388272</v>
      </c>
      <c r="I51" s="14"/>
      <c r="J51" s="11" t="s">
        <v>4</v>
      </c>
      <c r="K51" s="3">
        <f t="shared" si="17"/>
        <v>2011</v>
      </c>
      <c r="L51" s="3">
        <v>3</v>
      </c>
      <c r="M51" s="3">
        <f t="shared" si="15"/>
        <v>12</v>
      </c>
      <c r="N51" s="3">
        <f t="shared" si="0"/>
        <v>26.340922715832981</v>
      </c>
      <c r="O51" s="3">
        <f t="shared" si="1"/>
        <v>4.3878935370372565</v>
      </c>
      <c r="P51" s="3">
        <f t="shared" si="2"/>
        <v>3.951680543795193</v>
      </c>
      <c r="Q51" s="1">
        <f t="shared" si="3"/>
        <v>15.499735297792014</v>
      </c>
    </row>
    <row r="52" spans="1:17" s="3" customFormat="1" x14ac:dyDescent="0.25">
      <c r="A52" s="3" t="s">
        <v>4</v>
      </c>
      <c r="B52" s="3">
        <f t="shared" si="16"/>
        <v>2012</v>
      </c>
      <c r="C52" s="3">
        <v>3</v>
      </c>
      <c r="D52" s="3">
        <f t="shared" si="14"/>
        <v>13</v>
      </c>
      <c r="E52" s="3">
        <v>258304834621.60489</v>
      </c>
      <c r="F52" s="3">
        <v>80.626829268292695</v>
      </c>
      <c r="G52" s="4">
        <v>53.379336057007343</v>
      </c>
      <c r="H52" s="3">
        <v>5413971</v>
      </c>
      <c r="I52" s="14"/>
      <c r="J52" s="11" t="s">
        <v>4</v>
      </c>
      <c r="K52" s="3">
        <f t="shared" si="17"/>
        <v>2012</v>
      </c>
      <c r="L52" s="3">
        <v>3</v>
      </c>
      <c r="M52" s="3">
        <f t="shared" si="15"/>
        <v>13</v>
      </c>
      <c r="N52" s="3">
        <f t="shared" si="0"/>
        <v>26.277406253952428</v>
      </c>
      <c r="O52" s="3">
        <f t="shared" si="1"/>
        <v>4.3898314634575337</v>
      </c>
      <c r="P52" s="3">
        <f t="shared" si="2"/>
        <v>3.9774237058512045</v>
      </c>
      <c r="Q52" s="1">
        <f t="shared" si="3"/>
        <v>15.504493392658846</v>
      </c>
    </row>
    <row r="53" spans="1:17" s="3" customFormat="1" x14ac:dyDescent="0.25">
      <c r="A53" s="3" t="s">
        <v>4</v>
      </c>
      <c r="B53" s="3">
        <f t="shared" si="16"/>
        <v>2013</v>
      </c>
      <c r="C53" s="3">
        <v>3</v>
      </c>
      <c r="D53" s="3">
        <f t="shared" si="14"/>
        <v>14</v>
      </c>
      <c r="E53" s="3">
        <v>271285280621.37253</v>
      </c>
      <c r="F53" s="3">
        <v>80.975609756097569</v>
      </c>
      <c r="G53" s="4">
        <v>54.924378910692859</v>
      </c>
      <c r="H53" s="3">
        <v>5438972</v>
      </c>
      <c r="I53" s="14"/>
      <c r="J53" s="11" t="s">
        <v>4</v>
      </c>
      <c r="K53" s="3">
        <f t="shared" si="17"/>
        <v>2013</v>
      </c>
      <c r="L53" s="3">
        <v>3</v>
      </c>
      <c r="M53" s="3">
        <f t="shared" si="15"/>
        <v>14</v>
      </c>
      <c r="N53" s="3">
        <f t="shared" si="0"/>
        <v>26.326436800150031</v>
      </c>
      <c r="O53" s="3">
        <f t="shared" si="1"/>
        <v>4.3941479952062261</v>
      </c>
      <c r="P53" s="3">
        <f t="shared" si="2"/>
        <v>4.0059573102539456</v>
      </c>
      <c r="Q53" s="1">
        <f t="shared" si="3"/>
        <v>15.509100630386699</v>
      </c>
    </row>
    <row r="54" spans="1:17" s="3" customFormat="1" x14ac:dyDescent="0.25">
      <c r="A54" s="3" t="s">
        <v>4</v>
      </c>
      <c r="B54" s="3">
        <f>B53+1</f>
        <v>2014</v>
      </c>
      <c r="C54" s="3">
        <v>3</v>
      </c>
      <c r="D54" s="3">
        <f t="shared" si="14"/>
        <v>15</v>
      </c>
      <c r="E54" s="3">
        <v>274497230802.95764</v>
      </c>
      <c r="F54" s="3">
        <v>81.180487804878069</v>
      </c>
      <c r="G54" s="4">
        <v>56.457035078205408</v>
      </c>
      <c r="H54" s="3">
        <v>5461512</v>
      </c>
      <c r="I54" s="14"/>
      <c r="J54" s="11" t="s">
        <v>4</v>
      </c>
      <c r="K54" s="3">
        <f>K53+1</f>
        <v>2014</v>
      </c>
      <c r="L54" s="3">
        <v>3</v>
      </c>
      <c r="M54" s="3">
        <f t="shared" si="15"/>
        <v>15</v>
      </c>
      <c r="N54" s="3">
        <f t="shared" si="0"/>
        <v>26.338207009695594</v>
      </c>
      <c r="O54" s="3">
        <f t="shared" si="1"/>
        <v>4.3966749203219671</v>
      </c>
      <c r="P54" s="3">
        <f t="shared" si="2"/>
        <v>4.0334799077766936</v>
      </c>
      <c r="Q54" s="1">
        <f t="shared" si="3"/>
        <v>15.513236232461892</v>
      </c>
    </row>
    <row r="55" spans="1:17" s="3" customFormat="1" x14ac:dyDescent="0.25">
      <c r="A55" s="3" t="s">
        <v>4</v>
      </c>
      <c r="B55" s="3">
        <f t="shared" si="16"/>
        <v>2015</v>
      </c>
      <c r="C55" s="3">
        <v>3</v>
      </c>
      <c r="D55" s="3">
        <f t="shared" si="14"/>
        <v>16</v>
      </c>
      <c r="E55" s="3">
        <v>234440080998.27307</v>
      </c>
      <c r="F55" s="3">
        <v>81.480487804878067</v>
      </c>
      <c r="G55" s="4">
        <v>57.825866301984739</v>
      </c>
      <c r="H55" s="3">
        <v>5479531</v>
      </c>
      <c r="I55" s="14"/>
      <c r="J55" s="11" t="s">
        <v>4</v>
      </c>
      <c r="K55" s="3">
        <f t="shared" ref="K55:K58" si="18">K54+1</f>
        <v>2015</v>
      </c>
      <c r="L55" s="3">
        <v>3</v>
      </c>
      <c r="M55" s="3">
        <f t="shared" si="15"/>
        <v>16</v>
      </c>
      <c r="N55" s="3">
        <f t="shared" si="0"/>
        <v>26.180465874051393</v>
      </c>
      <c r="O55" s="3">
        <f t="shared" si="1"/>
        <v>4.4003635781457664</v>
      </c>
      <c r="P55" s="3">
        <f t="shared" si="2"/>
        <v>4.0574361894490307</v>
      </c>
      <c r="Q55" s="1">
        <f t="shared" si="3"/>
        <v>15.516530071320078</v>
      </c>
    </row>
    <row r="56" spans="1:17" s="3" customFormat="1" x14ac:dyDescent="0.25">
      <c r="A56" s="3" t="s">
        <v>4</v>
      </c>
      <c r="B56" s="3">
        <f t="shared" si="16"/>
        <v>2016</v>
      </c>
      <c r="C56" s="3">
        <v>3</v>
      </c>
      <c r="D56" s="3">
        <f t="shared" si="14"/>
        <v>17</v>
      </c>
      <c r="E56" s="3">
        <v>240607907010.38336</v>
      </c>
      <c r="F56" s="3">
        <v>81.429268292682934</v>
      </c>
      <c r="G56" s="4">
        <v>59.045254345501917</v>
      </c>
      <c r="H56" s="3">
        <v>5495303</v>
      </c>
      <c r="I56" s="14"/>
      <c r="J56" s="11" t="s">
        <v>4</v>
      </c>
      <c r="K56" s="3">
        <f t="shared" si="18"/>
        <v>2016</v>
      </c>
      <c r="L56" s="3">
        <v>3</v>
      </c>
      <c r="M56" s="3">
        <f t="shared" si="15"/>
        <v>17</v>
      </c>
      <c r="N56" s="3">
        <f t="shared" si="0"/>
        <v>26.206434503664294</v>
      </c>
      <c r="O56" s="3">
        <f t="shared" si="1"/>
        <v>4.3997347697169795</v>
      </c>
      <c r="P56" s="3">
        <f t="shared" si="2"/>
        <v>4.0783041726991778</v>
      </c>
      <c r="Q56" s="1">
        <f t="shared" si="3"/>
        <v>15.519404285336954</v>
      </c>
    </row>
    <row r="57" spans="1:17" s="3" customFormat="1" x14ac:dyDescent="0.25">
      <c r="A57" s="3" t="s">
        <v>4</v>
      </c>
      <c r="B57" s="3">
        <f t="shared" si="16"/>
        <v>2017</v>
      </c>
      <c r="C57" s="3">
        <v>3</v>
      </c>
      <c r="D57" s="3">
        <f t="shared" si="14"/>
        <v>18</v>
      </c>
      <c r="E57" s="3">
        <v>255122545770.77832</v>
      </c>
      <c r="F57" s="3">
        <v>81.631707317073193</v>
      </c>
      <c r="G57" s="4">
        <v>60.076617574148806</v>
      </c>
      <c r="H57" s="3">
        <v>5508214</v>
      </c>
      <c r="I57" s="14"/>
      <c r="J57" s="11" t="s">
        <v>4</v>
      </c>
      <c r="K57" s="3">
        <f t="shared" si="18"/>
        <v>2017</v>
      </c>
      <c r="L57" s="3">
        <v>3</v>
      </c>
      <c r="M57" s="3">
        <f t="shared" si="15"/>
        <v>18</v>
      </c>
      <c r="N57" s="3">
        <f t="shared" si="0"/>
        <v>26.265009838317376</v>
      </c>
      <c r="O57" s="3">
        <f t="shared" si="1"/>
        <v>4.4022177565584366</v>
      </c>
      <c r="P57" s="3">
        <f t="shared" si="2"/>
        <v>4.0956207071717934</v>
      </c>
      <c r="Q57" s="1">
        <f t="shared" si="3"/>
        <v>15.521750990654009</v>
      </c>
    </row>
    <row r="58" spans="1:17" s="3" customFormat="1" x14ac:dyDescent="0.25">
      <c r="A58" s="3" t="s">
        <v>4</v>
      </c>
      <c r="B58" s="3">
        <f t="shared" si="16"/>
        <v>2018</v>
      </c>
      <c r="C58" s="3">
        <v>3</v>
      </c>
      <c r="D58" s="3">
        <f t="shared" si="14"/>
        <v>19</v>
      </c>
      <c r="E58" s="3">
        <v>275893681355.89221</v>
      </c>
      <c r="F58" s="3">
        <v>81.734146341463429</v>
      </c>
      <c r="G58" s="4">
        <v>60.942399485500218</v>
      </c>
      <c r="H58" s="3">
        <v>5515525</v>
      </c>
      <c r="I58" s="14"/>
      <c r="J58" s="11" t="s">
        <v>4</v>
      </c>
      <c r="K58" s="3">
        <f t="shared" si="18"/>
        <v>2018</v>
      </c>
      <c r="L58" s="3">
        <v>3</v>
      </c>
      <c r="M58" s="3">
        <f t="shared" si="15"/>
        <v>19</v>
      </c>
      <c r="N58" s="3">
        <f t="shared" si="0"/>
        <v>26.343281415971525</v>
      </c>
      <c r="O58" s="3">
        <f t="shared" si="1"/>
        <v>4.4034718624260014</v>
      </c>
      <c r="P58" s="3">
        <f t="shared" si="2"/>
        <v>4.1099291473393507</v>
      </c>
      <c r="Q58" s="1">
        <f t="shared" si="3"/>
        <v>15.523077401061927</v>
      </c>
    </row>
    <row r="59" spans="1:17" s="5" customFormat="1" x14ac:dyDescent="0.25">
      <c r="A59" s="5" t="s">
        <v>5</v>
      </c>
      <c r="B59" s="5">
        <v>2000</v>
      </c>
      <c r="C59" s="5">
        <v>4</v>
      </c>
      <c r="D59" s="5">
        <v>1</v>
      </c>
      <c r="E59" s="5">
        <v>164158739097.62344</v>
      </c>
      <c r="F59" s="5">
        <v>76.592682926829269</v>
      </c>
      <c r="G59" s="5">
        <v>49.977277093625119</v>
      </c>
      <c r="H59" s="5">
        <v>69650</v>
      </c>
      <c r="I59" s="14"/>
      <c r="J59" s="12" t="s">
        <v>5</v>
      </c>
      <c r="K59" s="5">
        <v>2000</v>
      </c>
      <c r="L59" s="5">
        <v>4</v>
      </c>
      <c r="M59" s="5">
        <v>1</v>
      </c>
      <c r="N59" s="5">
        <f t="shared" si="0"/>
        <v>25.824099717963787</v>
      </c>
      <c r="O59" s="5">
        <f t="shared" si="1"/>
        <v>4.3385015490354766</v>
      </c>
      <c r="P59" s="5">
        <f t="shared" si="2"/>
        <v>3.9115684440032563</v>
      </c>
      <c r="Q59" s="1">
        <f t="shared" si="3"/>
        <v>11.151237979207952</v>
      </c>
    </row>
    <row r="60" spans="1:17" s="5" customFormat="1" x14ac:dyDescent="0.25">
      <c r="A60" s="5" t="s">
        <v>5</v>
      </c>
      <c r="B60" s="5">
        <v>2001</v>
      </c>
      <c r="C60" s="5">
        <v>4</v>
      </c>
      <c r="D60" s="5">
        <f>D59+1</f>
        <v>2</v>
      </c>
      <c r="E60" s="5">
        <v>164791442543.37482</v>
      </c>
      <c r="F60" s="5">
        <v>76.792682926829286</v>
      </c>
      <c r="G60" s="5">
        <v>50.240593742123544</v>
      </c>
      <c r="H60" s="5">
        <v>69661</v>
      </c>
      <c r="I60" s="14"/>
      <c r="J60" s="12" t="s">
        <v>5</v>
      </c>
      <c r="K60" s="5">
        <v>2001</v>
      </c>
      <c r="L60" s="5">
        <v>4</v>
      </c>
      <c r="M60" s="5">
        <f>M59+1</f>
        <v>2</v>
      </c>
      <c r="N60" s="5">
        <f t="shared" si="0"/>
        <v>25.827946526759092</v>
      </c>
      <c r="O60" s="5">
        <f t="shared" si="1"/>
        <v>4.3411093612244898</v>
      </c>
      <c r="P60" s="5">
        <f t="shared" si="2"/>
        <v>3.9168233402056263</v>
      </c>
      <c r="Q60" s="1">
        <f t="shared" si="3"/>
        <v>11.151395899257666</v>
      </c>
    </row>
    <row r="61" spans="1:17" s="5" customFormat="1" x14ac:dyDescent="0.25">
      <c r="A61" s="5" t="s">
        <v>5</v>
      </c>
      <c r="B61" s="5">
        <v>2002</v>
      </c>
      <c r="C61" s="5">
        <v>4</v>
      </c>
      <c r="D61" s="5">
        <f t="shared" ref="D61:D77" si="19">D60+1</f>
        <v>3</v>
      </c>
      <c r="E61" s="5">
        <v>178635163717.43066</v>
      </c>
      <c r="F61" s="5">
        <v>76.895121951219508</v>
      </c>
      <c r="G61" s="5">
        <v>50.50526005179843</v>
      </c>
      <c r="H61" s="5">
        <v>69837</v>
      </c>
      <c r="I61" s="14"/>
      <c r="J61" s="12" t="s">
        <v>5</v>
      </c>
      <c r="K61" s="5">
        <v>2002</v>
      </c>
      <c r="L61" s="5">
        <v>4</v>
      </c>
      <c r="M61" s="5">
        <f t="shared" ref="M61:M77" si="20">M60+1</f>
        <v>3</v>
      </c>
      <c r="N61" s="5">
        <f t="shared" si="0"/>
        <v>25.908611371325399</v>
      </c>
      <c r="O61" s="5">
        <f t="shared" si="1"/>
        <v>4.3424424408353524</v>
      </c>
      <c r="P61" s="5">
        <f t="shared" si="2"/>
        <v>3.922077490298649</v>
      </c>
      <c r="Q61" s="1">
        <f t="shared" si="3"/>
        <v>11.153919234264416</v>
      </c>
    </row>
    <row r="62" spans="1:17" s="5" customFormat="1" x14ac:dyDescent="0.25">
      <c r="A62" s="5" t="s">
        <v>5</v>
      </c>
      <c r="B62" s="5">
        <f>B61+1</f>
        <v>2003</v>
      </c>
      <c r="C62" s="5">
        <v>4</v>
      </c>
      <c r="D62" s="5">
        <f t="shared" si="19"/>
        <v>4</v>
      </c>
      <c r="E62" s="5">
        <v>218096033517.00897</v>
      </c>
      <c r="F62" s="5">
        <v>77.143902439024401</v>
      </c>
      <c r="G62" s="5">
        <v>50.758466465825933</v>
      </c>
      <c r="H62" s="5">
        <v>70100</v>
      </c>
      <c r="I62" s="14"/>
      <c r="J62" s="12" t="s">
        <v>5</v>
      </c>
      <c r="K62" s="5">
        <f>K61+1</f>
        <v>2003</v>
      </c>
      <c r="L62" s="5">
        <v>4</v>
      </c>
      <c r="M62" s="5">
        <f t="shared" si="20"/>
        <v>4</v>
      </c>
      <c r="N62" s="5">
        <f t="shared" si="0"/>
        <v>26.10820132345496</v>
      </c>
      <c r="O62" s="5">
        <f t="shared" si="1"/>
        <v>4.3456725405467056</v>
      </c>
      <c r="P62" s="5">
        <f t="shared" si="2"/>
        <v>3.9270784309206612</v>
      </c>
      <c r="Q62" s="1">
        <f t="shared" si="3"/>
        <v>11.157678073022682</v>
      </c>
    </row>
    <row r="63" spans="1:17" s="5" customFormat="1" x14ac:dyDescent="0.25">
      <c r="A63" s="5" t="s">
        <v>5</v>
      </c>
      <c r="B63" s="5">
        <f t="shared" ref="B63:B77" si="21">B62+1</f>
        <v>2004</v>
      </c>
      <c r="C63" s="5">
        <v>4</v>
      </c>
      <c r="D63" s="5">
        <f t="shared" si="19"/>
        <v>5</v>
      </c>
      <c r="E63" s="5">
        <v>251373002954.38232</v>
      </c>
      <c r="F63" s="5">
        <v>77.492682926829275</v>
      </c>
      <c r="G63" s="5">
        <v>50.998705012453946</v>
      </c>
      <c r="H63" s="5">
        <v>70382</v>
      </c>
      <c r="I63" s="14"/>
      <c r="J63" s="12" t="s">
        <v>5</v>
      </c>
      <c r="K63" s="5">
        <f t="shared" ref="K63:K72" si="22">K62+1</f>
        <v>2004</v>
      </c>
      <c r="L63" s="5">
        <v>4</v>
      </c>
      <c r="M63" s="5">
        <f t="shared" si="20"/>
        <v>5</v>
      </c>
      <c r="N63" s="5">
        <f t="shared" si="0"/>
        <v>26.250203740519883</v>
      </c>
      <c r="O63" s="5">
        <f t="shared" si="1"/>
        <v>4.3501835180546689</v>
      </c>
      <c r="P63" s="5">
        <f t="shared" si="2"/>
        <v>3.9318002404892778</v>
      </c>
      <c r="Q63" s="1">
        <f t="shared" si="3"/>
        <v>11.161692827635783</v>
      </c>
    </row>
    <row r="64" spans="1:17" s="5" customFormat="1" x14ac:dyDescent="0.25">
      <c r="A64" s="5" t="s">
        <v>5</v>
      </c>
      <c r="B64" s="5">
        <f t="shared" si="21"/>
        <v>2005</v>
      </c>
      <c r="C64" s="5">
        <v>4</v>
      </c>
      <c r="D64" s="5">
        <f t="shared" si="19"/>
        <v>6</v>
      </c>
      <c r="E64" s="5">
        <v>264467336457.16953</v>
      </c>
      <c r="F64" s="5">
        <v>77.84390243902439</v>
      </c>
      <c r="G64" s="5">
        <v>51.241665138742491</v>
      </c>
      <c r="H64" s="5">
        <v>70589</v>
      </c>
      <c r="I64" s="14"/>
      <c r="J64" s="12" t="s">
        <v>5</v>
      </c>
      <c r="K64" s="5">
        <f t="shared" si="22"/>
        <v>2005</v>
      </c>
      <c r="L64" s="5">
        <v>4</v>
      </c>
      <c r="M64" s="5">
        <f t="shared" si="20"/>
        <v>6</v>
      </c>
      <c r="N64" s="5">
        <f t="shared" si="0"/>
        <v>26.300983588963728</v>
      </c>
      <c r="O64" s="5">
        <f t="shared" si="1"/>
        <v>4.3547055707298181</v>
      </c>
      <c r="P64" s="5">
        <f t="shared" si="2"/>
        <v>3.9365529733534204</v>
      </c>
      <c r="Q64" s="1">
        <f t="shared" si="3"/>
        <v>11.164629603976666</v>
      </c>
    </row>
    <row r="65" spans="1:17" s="5" customFormat="1" x14ac:dyDescent="0.25">
      <c r="A65" s="5" t="s">
        <v>5</v>
      </c>
      <c r="B65" s="5">
        <f t="shared" si="21"/>
        <v>2006</v>
      </c>
      <c r="C65" s="5">
        <v>4</v>
      </c>
      <c r="D65" s="5">
        <f t="shared" si="19"/>
        <v>7</v>
      </c>
      <c r="E65" s="5">
        <v>282884947702.96631</v>
      </c>
      <c r="F65" s="5">
        <v>78.095121951219539</v>
      </c>
      <c r="G65" s="5">
        <v>51.568390943816581</v>
      </c>
      <c r="H65" s="5">
        <v>70718</v>
      </c>
      <c r="I65" s="14"/>
      <c r="J65" s="12" t="s">
        <v>5</v>
      </c>
      <c r="K65" s="5">
        <f t="shared" si="22"/>
        <v>2006</v>
      </c>
      <c r="L65" s="5">
        <v>4</v>
      </c>
      <c r="M65" s="5">
        <f t="shared" si="20"/>
        <v>7</v>
      </c>
      <c r="N65" s="5">
        <f t="shared" si="0"/>
        <v>26.368306106708538</v>
      </c>
      <c r="O65" s="5">
        <f t="shared" si="1"/>
        <v>4.3579275958837211</v>
      </c>
      <c r="P65" s="5">
        <f t="shared" si="2"/>
        <v>3.9429089061763767</v>
      </c>
      <c r="Q65" s="1">
        <f t="shared" si="3"/>
        <v>11.166455416368636</v>
      </c>
    </row>
    <row r="66" spans="1:17" s="5" customFormat="1" x14ac:dyDescent="0.25">
      <c r="A66" s="5" t="s">
        <v>5</v>
      </c>
      <c r="B66" s="5">
        <f t="shared" si="21"/>
        <v>2007</v>
      </c>
      <c r="C66" s="5">
        <v>4</v>
      </c>
      <c r="D66" s="5">
        <f t="shared" si="19"/>
        <v>8</v>
      </c>
      <c r="E66" s="5">
        <v>319423424509.06555</v>
      </c>
      <c r="F66" s="5">
        <v>78.195121951219519</v>
      </c>
      <c r="G66" s="5">
        <v>51.891496816402629</v>
      </c>
      <c r="H66" s="5">
        <v>70795</v>
      </c>
      <c r="I66" s="14"/>
      <c r="J66" s="12" t="s">
        <v>5</v>
      </c>
      <c r="K66" s="5">
        <f t="shared" si="22"/>
        <v>2007</v>
      </c>
      <c r="L66" s="5">
        <v>4</v>
      </c>
      <c r="M66" s="5">
        <f t="shared" si="20"/>
        <v>8</v>
      </c>
      <c r="N66" s="5">
        <f t="shared" si="0"/>
        <v>26.48978340913979</v>
      </c>
      <c r="O66" s="5">
        <f t="shared" si="1"/>
        <v>4.3592072664651909</v>
      </c>
      <c r="P66" s="5">
        <f t="shared" si="2"/>
        <v>3.9491549389147127</v>
      </c>
      <c r="Q66" s="1">
        <f t="shared" si="3"/>
        <v>11.16754365571907</v>
      </c>
    </row>
    <row r="67" spans="1:17" s="5" customFormat="1" x14ac:dyDescent="0.25">
      <c r="A67" s="5" t="s">
        <v>5</v>
      </c>
      <c r="B67" s="5">
        <f t="shared" si="21"/>
        <v>2008</v>
      </c>
      <c r="C67" s="5">
        <v>4</v>
      </c>
      <c r="D67" s="5">
        <f t="shared" si="19"/>
        <v>9</v>
      </c>
      <c r="E67" s="5">
        <v>353361038818.38336</v>
      </c>
      <c r="F67" s="5">
        <v>78.44634146341464</v>
      </c>
      <c r="G67" s="5">
        <v>52.225826313114773</v>
      </c>
      <c r="H67" s="5">
        <v>70827</v>
      </c>
      <c r="I67" s="14"/>
      <c r="J67" s="12" t="s">
        <v>5</v>
      </c>
      <c r="K67" s="5">
        <f t="shared" si="22"/>
        <v>2008</v>
      </c>
      <c r="L67" s="5">
        <v>4</v>
      </c>
      <c r="M67" s="5">
        <f t="shared" si="20"/>
        <v>9</v>
      </c>
      <c r="N67" s="5">
        <f t="shared" ref="N67:N77" si="23">LN(E67)</f>
        <v>26.590756144060514</v>
      </c>
      <c r="O67" s="5">
        <f t="shared" ref="O67:O77" si="24">LN(F67)</f>
        <v>4.3624148428259959</v>
      </c>
      <c r="P67" s="5">
        <f t="shared" ref="P67:P76" si="25">LN(G67)</f>
        <v>3.9555771294929465</v>
      </c>
      <c r="Q67" s="1">
        <f t="shared" ref="Q67:Q77" si="26">LN(H67)</f>
        <v>11.167995562916323</v>
      </c>
    </row>
    <row r="68" spans="1:17" s="5" customFormat="1" x14ac:dyDescent="0.25">
      <c r="A68" s="5" t="s">
        <v>5</v>
      </c>
      <c r="B68" s="5">
        <f t="shared" si="21"/>
        <v>2009</v>
      </c>
      <c r="C68" s="5">
        <v>4</v>
      </c>
      <c r="D68" s="5">
        <f t="shared" si="19"/>
        <v>10</v>
      </c>
      <c r="E68" s="5">
        <v>321241303699.00574</v>
      </c>
      <c r="F68" s="5">
        <v>78.597560975609767</v>
      </c>
      <c r="G68" s="5">
        <v>52.577543723363959</v>
      </c>
      <c r="H68" s="5">
        <v>70851</v>
      </c>
      <c r="I68" s="14"/>
      <c r="J68" s="12" t="s">
        <v>5</v>
      </c>
      <c r="K68" s="5">
        <f t="shared" si="22"/>
        <v>2009</v>
      </c>
      <c r="L68" s="5">
        <v>4</v>
      </c>
      <c r="M68" s="5">
        <f t="shared" si="20"/>
        <v>10</v>
      </c>
      <c r="N68" s="5">
        <f t="shared" si="23"/>
        <v>26.49545840259179</v>
      </c>
      <c r="O68" s="5">
        <f t="shared" si="24"/>
        <v>4.3643406681090351</v>
      </c>
      <c r="P68" s="5">
        <f t="shared" si="25"/>
        <v>3.9622891031737328</v>
      </c>
      <c r="Q68" s="1">
        <f t="shared" si="26"/>
        <v>11.168334359345261</v>
      </c>
    </row>
    <row r="69" spans="1:17" s="5" customFormat="1" x14ac:dyDescent="0.25">
      <c r="A69" s="5" t="s">
        <v>5</v>
      </c>
      <c r="B69" s="5">
        <f t="shared" si="21"/>
        <v>2010</v>
      </c>
      <c r="C69" s="5">
        <v>4</v>
      </c>
      <c r="D69" s="5">
        <f t="shared" si="19"/>
        <v>11</v>
      </c>
      <c r="E69" s="5">
        <v>321995279401.50159</v>
      </c>
      <c r="F69" s="5">
        <v>79.099999999999994</v>
      </c>
      <c r="G69" s="5">
        <v>52.945949209559508</v>
      </c>
      <c r="H69" s="5">
        <v>70878</v>
      </c>
      <c r="I69" s="14"/>
      <c r="J69" s="12" t="s">
        <v>5</v>
      </c>
      <c r="K69" s="5">
        <f t="shared" si="22"/>
        <v>2010</v>
      </c>
      <c r="L69" s="5">
        <v>4</v>
      </c>
      <c r="M69" s="5">
        <f t="shared" si="20"/>
        <v>11</v>
      </c>
      <c r="N69" s="5">
        <f t="shared" si="23"/>
        <v>26.497802722139575</v>
      </c>
      <c r="O69" s="5">
        <f t="shared" si="24"/>
        <v>4.3707128747736084</v>
      </c>
      <c r="P69" s="5">
        <f t="shared" si="25"/>
        <v>3.9692715669407952</v>
      </c>
      <c r="Q69" s="1">
        <f t="shared" si="26"/>
        <v>11.168715368176574</v>
      </c>
    </row>
    <row r="70" spans="1:17" s="5" customFormat="1" x14ac:dyDescent="0.25">
      <c r="A70" s="5" t="s">
        <v>5</v>
      </c>
      <c r="B70" s="5">
        <f t="shared" si="21"/>
        <v>2011</v>
      </c>
      <c r="C70" s="5">
        <v>4</v>
      </c>
      <c r="D70" s="5">
        <f t="shared" si="19"/>
        <v>12</v>
      </c>
      <c r="E70" s="5">
        <v>344003137611.27118</v>
      </c>
      <c r="F70" s="5">
        <v>79.8</v>
      </c>
      <c r="G70" s="5">
        <v>53.474842628674203</v>
      </c>
      <c r="H70" s="5">
        <v>70916</v>
      </c>
      <c r="I70" s="14"/>
      <c r="J70" s="12" t="s">
        <v>5</v>
      </c>
      <c r="K70" s="5">
        <f t="shared" si="22"/>
        <v>2011</v>
      </c>
      <c r="L70" s="5">
        <v>4</v>
      </c>
      <c r="M70" s="5">
        <f t="shared" si="20"/>
        <v>12</v>
      </c>
      <c r="N70" s="5">
        <f t="shared" si="23"/>
        <v>26.563916615241212</v>
      </c>
      <c r="O70" s="5">
        <f t="shared" si="24"/>
        <v>4.3795235044557632</v>
      </c>
      <c r="P70" s="5">
        <f t="shared" si="25"/>
        <v>3.9792113120688462</v>
      </c>
      <c r="Q70" s="1">
        <f t="shared" si="26"/>
        <v>11.169251357018272</v>
      </c>
    </row>
    <row r="71" spans="1:17" s="5" customFormat="1" x14ac:dyDescent="0.25">
      <c r="A71" s="5" t="s">
        <v>5</v>
      </c>
      <c r="B71" s="5">
        <f t="shared" si="21"/>
        <v>2012</v>
      </c>
      <c r="C71" s="5">
        <v>4</v>
      </c>
      <c r="D71" s="5">
        <f t="shared" si="19"/>
        <v>13</v>
      </c>
      <c r="E71" s="5">
        <v>327148943812.1366</v>
      </c>
      <c r="F71" s="5">
        <v>80.051219512195118</v>
      </c>
      <c r="G71" s="5">
        <v>53.983795765286722</v>
      </c>
      <c r="H71" s="5">
        <v>70965</v>
      </c>
      <c r="I71" s="14"/>
      <c r="J71" s="12" t="s">
        <v>5</v>
      </c>
      <c r="K71" s="5">
        <f t="shared" si="22"/>
        <v>2012</v>
      </c>
      <c r="L71" s="5">
        <v>4</v>
      </c>
      <c r="M71" s="5">
        <f t="shared" si="20"/>
        <v>13</v>
      </c>
      <c r="N71" s="5">
        <f t="shared" si="23"/>
        <v>26.513681389805583</v>
      </c>
      <c r="O71" s="5">
        <f t="shared" si="24"/>
        <v>4.3826666737076323</v>
      </c>
      <c r="P71" s="5">
        <f t="shared" si="25"/>
        <v>3.98868392311112</v>
      </c>
      <c r="Q71" s="1">
        <f t="shared" si="26"/>
        <v>11.169942076733358</v>
      </c>
    </row>
    <row r="72" spans="1:17" s="5" customFormat="1" x14ac:dyDescent="0.25">
      <c r="A72" s="5" t="s">
        <v>5</v>
      </c>
      <c r="B72" s="5">
        <f t="shared" si="21"/>
        <v>2013</v>
      </c>
      <c r="C72" s="5">
        <v>4</v>
      </c>
      <c r="D72" s="5">
        <f t="shared" si="19"/>
        <v>14</v>
      </c>
      <c r="E72" s="5">
        <v>343584391647.92706</v>
      </c>
      <c r="F72" s="5">
        <v>80.3</v>
      </c>
      <c r="G72" s="5">
        <v>54.586553810252994</v>
      </c>
      <c r="H72" s="5">
        <v>71016</v>
      </c>
      <c r="I72" s="14"/>
      <c r="J72" s="12" t="s">
        <v>5</v>
      </c>
      <c r="K72" s="5">
        <f t="shared" si="22"/>
        <v>2013</v>
      </c>
      <c r="L72" s="5">
        <v>4</v>
      </c>
      <c r="M72" s="5">
        <f t="shared" si="20"/>
        <v>14</v>
      </c>
      <c r="N72" s="5">
        <f t="shared" si="23"/>
        <v>26.562698600087373</v>
      </c>
      <c r="O72" s="5">
        <f t="shared" si="24"/>
        <v>4.3857696209527157</v>
      </c>
      <c r="P72" s="5">
        <f t="shared" si="25"/>
        <v>3.9997875852106266</v>
      </c>
      <c r="Q72" s="1">
        <f t="shared" si="26"/>
        <v>11.170660482748156</v>
      </c>
    </row>
    <row r="73" spans="1:17" s="5" customFormat="1" x14ac:dyDescent="0.25">
      <c r="A73" s="5" t="s">
        <v>5</v>
      </c>
      <c r="B73" s="5">
        <f>B72+1</f>
        <v>2014</v>
      </c>
      <c r="C73" s="5">
        <v>4</v>
      </c>
      <c r="D73" s="5">
        <f t="shared" si="19"/>
        <v>15</v>
      </c>
      <c r="E73" s="5">
        <v>352993631617.70801</v>
      </c>
      <c r="F73" s="5">
        <v>80.7</v>
      </c>
      <c r="G73" s="5">
        <v>55.286847873522447</v>
      </c>
      <c r="H73" s="5">
        <v>71085</v>
      </c>
      <c r="I73" s="14"/>
      <c r="J73" s="12" t="s">
        <v>5</v>
      </c>
      <c r="K73" s="5">
        <f>K72+1</f>
        <v>2014</v>
      </c>
      <c r="L73" s="5">
        <v>4</v>
      </c>
      <c r="M73" s="5">
        <f t="shared" si="20"/>
        <v>15</v>
      </c>
      <c r="N73" s="5">
        <f t="shared" si="23"/>
        <v>26.589715852973935</v>
      </c>
      <c r="O73" s="5">
        <f t="shared" si="24"/>
        <v>4.3907385752759032</v>
      </c>
      <c r="P73" s="5">
        <f t="shared" si="25"/>
        <v>4.0125350479365016</v>
      </c>
      <c r="Q73" s="1">
        <f t="shared" si="26"/>
        <v>11.171631623069798</v>
      </c>
    </row>
    <row r="74" spans="1:17" s="5" customFormat="1" x14ac:dyDescent="0.25">
      <c r="A74" s="5" t="s">
        <v>5</v>
      </c>
      <c r="B74" s="5">
        <f t="shared" si="21"/>
        <v>2015</v>
      </c>
      <c r="C74" s="5">
        <v>4</v>
      </c>
      <c r="D74" s="5">
        <f t="shared" si="19"/>
        <v>16</v>
      </c>
      <c r="E74" s="5">
        <v>302673068765.97229</v>
      </c>
      <c r="F74" s="5">
        <v>80.702439024390245</v>
      </c>
      <c r="G74" s="5">
        <v>55.983359529614148</v>
      </c>
      <c r="H74" s="5">
        <v>71183</v>
      </c>
      <c r="I74" s="14"/>
      <c r="J74" s="12" t="s">
        <v>5</v>
      </c>
      <c r="K74" s="5">
        <f t="shared" ref="K74:K77" si="27">K73+1</f>
        <v>2015</v>
      </c>
      <c r="L74" s="5">
        <v>4</v>
      </c>
      <c r="M74" s="5">
        <f t="shared" si="20"/>
        <v>16</v>
      </c>
      <c r="N74" s="5">
        <f t="shared" si="23"/>
        <v>26.435919078966368</v>
      </c>
      <c r="O74" s="5">
        <f t="shared" si="24"/>
        <v>4.3907687981697476</v>
      </c>
      <c r="P74" s="5">
        <f t="shared" si="25"/>
        <v>4.0250544953200764</v>
      </c>
      <c r="Q74" s="1">
        <f t="shared" si="26"/>
        <v>11.173009304846451</v>
      </c>
    </row>
    <row r="75" spans="1:17" s="5" customFormat="1" x14ac:dyDescent="0.25">
      <c r="A75" s="5" t="s">
        <v>5</v>
      </c>
      <c r="B75" s="5">
        <f t="shared" si="21"/>
        <v>2016</v>
      </c>
      <c r="C75" s="5">
        <v>4</v>
      </c>
      <c r="D75" s="5">
        <f t="shared" si="19"/>
        <v>17</v>
      </c>
      <c r="E75" s="5">
        <v>313115929314.33862</v>
      </c>
      <c r="F75" s="5">
        <v>80.853658536585371</v>
      </c>
      <c r="G75" s="5">
        <v>56.298152394252668</v>
      </c>
      <c r="H75" s="5">
        <v>71307</v>
      </c>
      <c r="I75" s="14"/>
      <c r="J75" s="12" t="s">
        <v>5</v>
      </c>
      <c r="K75" s="5">
        <f t="shared" si="27"/>
        <v>2016</v>
      </c>
      <c r="L75" s="5">
        <v>4</v>
      </c>
      <c r="M75" s="5">
        <f t="shared" si="20"/>
        <v>17</v>
      </c>
      <c r="N75" s="5">
        <f t="shared" si="23"/>
        <v>26.469839340108351</v>
      </c>
      <c r="O75" s="5">
        <f t="shared" si="24"/>
        <v>4.392640835915655</v>
      </c>
      <c r="P75" s="5">
        <f t="shared" si="25"/>
        <v>4.0306617174535564</v>
      </c>
      <c r="Q75" s="1">
        <f t="shared" si="26"/>
        <v>11.174749778301461</v>
      </c>
    </row>
    <row r="76" spans="1:17" s="5" customFormat="1" x14ac:dyDescent="0.25">
      <c r="A76" s="5" t="s">
        <v>5</v>
      </c>
      <c r="B76" s="5">
        <f t="shared" si="21"/>
        <v>2017</v>
      </c>
      <c r="C76" s="5">
        <v>4</v>
      </c>
      <c r="D76" s="5">
        <f t="shared" si="19"/>
        <v>18</v>
      </c>
      <c r="E76" s="5">
        <v>329417067127.81683</v>
      </c>
      <c r="F76" s="5">
        <v>81.10243902439025</v>
      </c>
      <c r="G76" s="5">
        <v>56.619995647769237</v>
      </c>
      <c r="H76" s="5">
        <v>71458</v>
      </c>
      <c r="I76" s="14"/>
      <c r="J76" s="12" t="s">
        <v>5</v>
      </c>
      <c r="K76" s="5">
        <f t="shared" si="27"/>
        <v>2017</v>
      </c>
      <c r="L76" s="5">
        <v>4</v>
      </c>
      <c r="M76" s="5">
        <f t="shared" si="20"/>
        <v>18</v>
      </c>
      <c r="N76" s="5">
        <f t="shared" si="23"/>
        <v>26.520590466121902</v>
      </c>
      <c r="O76" s="5">
        <f t="shared" si="24"/>
        <v>4.3957130349526254</v>
      </c>
      <c r="P76" s="5">
        <f t="shared" si="25"/>
        <v>4.0363622028163757</v>
      </c>
      <c r="Q76" s="1">
        <f t="shared" si="26"/>
        <v>11.17686514350032</v>
      </c>
    </row>
    <row r="77" spans="1:17" s="5" customFormat="1" x14ac:dyDescent="0.25">
      <c r="A77" s="5" t="s">
        <v>5</v>
      </c>
      <c r="B77" s="5">
        <f t="shared" si="21"/>
        <v>2018</v>
      </c>
      <c r="C77" s="5">
        <v>4</v>
      </c>
      <c r="D77" s="5">
        <f t="shared" si="19"/>
        <v>19</v>
      </c>
      <c r="E77" s="5">
        <v>355675329085.95154</v>
      </c>
      <c r="F77" s="5">
        <v>80.953658536585365</v>
      </c>
      <c r="G77" s="5">
        <v>56.914956717026698</v>
      </c>
      <c r="H77" s="5">
        <v>71625</v>
      </c>
      <c r="I77" s="14"/>
      <c r="J77" s="12" t="s">
        <v>5</v>
      </c>
      <c r="K77" s="5">
        <f t="shared" si="27"/>
        <v>2018</v>
      </c>
      <c r="L77" s="5">
        <v>4</v>
      </c>
      <c r="M77" s="5">
        <f t="shared" si="20"/>
        <v>19</v>
      </c>
      <c r="N77" s="5">
        <f t="shared" si="23"/>
        <v>26.59728415472663</v>
      </c>
      <c r="O77" s="5">
        <f t="shared" si="24"/>
        <v>4.3938768741188765</v>
      </c>
      <c r="P77" s="5">
        <f>LN(G77)</f>
        <v>4.0415581662924263</v>
      </c>
      <c r="Q77" s="1">
        <f t="shared" si="26"/>
        <v>11.179199454017041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2020-07-16T14:11:58Z</dcterms:modified>
</cp:coreProperties>
</file>